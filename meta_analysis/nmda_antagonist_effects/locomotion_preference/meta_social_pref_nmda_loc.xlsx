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GfkHO68raEBdD3h6GASxSUo4VXw8Hs/zkm1+LYVddw="/>
    </ext>
  </extLst>
</workbook>
</file>

<file path=xl/sharedStrings.xml><?xml version="1.0" encoding="utf-8"?>
<sst xmlns="http://schemas.openxmlformats.org/spreadsheetml/2006/main" count="993" uniqueCount="223">
  <si>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</si>
  <si>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</si>
  <si>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</si>
  <si>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</si>
  <si>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</si>
  <si>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</si>
  <si>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</si>
  <si>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</si>
  <si>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</si>
  <si>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</si>
  <si>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</si>
  <si>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</si>
  <si>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</si>
  <si>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</si>
  <si>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</si>
  <si>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</si>
  <si>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</si>
  <si>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</si>
  <si>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</si>
  <si>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</si>
  <si>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</si>
  <si>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</si>
  <si>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</si>
  <si>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</si>
  <si>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</si>
  <si>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</si>
  <si>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</si>
  <si>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</si>
  <si>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</si>
  <si>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</si>
  <si>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</si>
  <si>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group_ctrl_name</t>
  </si>
  <si>
    <t>n_ctrl</t>
  </si>
  <si>
    <t>mean_ctrl</t>
  </si>
  <si>
    <t>sd_ctrl</t>
  </si>
  <si>
    <t>group_nmda_name</t>
  </si>
  <si>
    <t>n_exp</t>
  </si>
  <si>
    <t>mean_exp</t>
  </si>
  <si>
    <t>sd_exp</t>
  </si>
  <si>
    <t>overall_rob</t>
  </si>
  <si>
    <t>B012</t>
  </si>
  <si>
    <t>Fujihara 2021</t>
  </si>
  <si>
    <t>fujihara_2021</t>
  </si>
  <si>
    <t>fujihara_2021_exp_001</t>
  </si>
  <si>
    <t>Rat</t>
  </si>
  <si>
    <t>Long Evans</t>
  </si>
  <si>
    <t>Unclear</t>
  </si>
  <si>
    <t>Juvenile/Adolescent</t>
  </si>
  <si>
    <t>MK-801</t>
  </si>
  <si>
    <t>Intraperitoneal</t>
  </si>
  <si>
    <t>Repeated</t>
  </si>
  <si>
    <t>1 per day</t>
  </si>
  <si>
    <t>14 days</t>
  </si>
  <si>
    <t>NA</t>
  </si>
  <si>
    <t>0.2 mg/kg</t>
  </si>
  <si>
    <t>7 days</t>
  </si>
  <si>
    <t>FIG2C WT</t>
  </si>
  <si>
    <t>Distance traveled (s)</t>
  </si>
  <si>
    <t>Absolute</t>
  </si>
  <si>
    <t>Locomotion</t>
  </si>
  <si>
    <t>Preference</t>
  </si>
  <si>
    <t>Direct</t>
  </si>
  <si>
    <t>SAL</t>
  </si>
  <si>
    <t>MK</t>
  </si>
  <si>
    <t>Low</t>
  </si>
  <si>
    <t>B013</t>
  </si>
  <si>
    <t>Garcia-Carachure 2020</t>
  </si>
  <si>
    <t>garcia-carachure_2020</t>
  </si>
  <si>
    <t>garcia-carachure_2020_exp_001</t>
  </si>
  <si>
    <t>Mouse</t>
  </si>
  <si>
    <t>C57BL/6</t>
  </si>
  <si>
    <t>Male</t>
  </si>
  <si>
    <t>Ketamine</t>
  </si>
  <si>
    <t>10 days</t>
  </si>
  <si>
    <t>20 mg/kg</t>
  </si>
  <si>
    <t>1 day</t>
  </si>
  <si>
    <t>FIG4(B/D) distance</t>
  </si>
  <si>
    <t>Distance Traveled (cm)</t>
  </si>
  <si>
    <t>CON</t>
  </si>
  <si>
    <t>B033</t>
  </si>
  <si>
    <t>Perdikaris 2022</t>
  </si>
  <si>
    <t>perdikaris_2022</t>
  </si>
  <si>
    <t>perdikaris_2022_exp_001</t>
  </si>
  <si>
    <t>Zebrafish</t>
  </si>
  <si>
    <t>Wild-type</t>
  </si>
  <si>
    <t>Adult</t>
  </si>
  <si>
    <t>Immersion</t>
  </si>
  <si>
    <t>4 μM</t>
  </si>
  <si>
    <t>FIG2F</t>
  </si>
  <si>
    <t>Distance (cm)</t>
  </si>
  <si>
    <t>CONTROL</t>
  </si>
  <si>
    <t>C007</t>
  </si>
  <si>
    <t>Donahue 2014</t>
  </si>
  <si>
    <t>donahue_2014</t>
  </si>
  <si>
    <t>donahue_2014_exp_001</t>
  </si>
  <si>
    <t>C57BL/6J</t>
  </si>
  <si>
    <t>Acute</t>
  </si>
  <si>
    <t>Single</t>
  </si>
  <si>
    <t>FIG3B</t>
  </si>
  <si>
    <t>Control 0</t>
  </si>
  <si>
    <t>Control Ketamine 20</t>
  </si>
  <si>
    <t>C031</t>
  </si>
  <si>
    <t>Ramsey 2011</t>
  </si>
  <si>
    <t>ramsey_2011</t>
  </si>
  <si>
    <t>ramsey_2011_exp_001</t>
  </si>
  <si>
    <t>Minipump</t>
  </si>
  <si>
    <t>Continuous</t>
  </si>
  <si>
    <t>0.2 mg/kg/h</t>
  </si>
  <si>
    <t>FIGS6D</t>
  </si>
  <si>
    <t>Track length (cm)</t>
  </si>
  <si>
    <t>MK801</t>
  </si>
  <si>
    <t>C047</t>
  </si>
  <si>
    <t>Xiao 2019</t>
  </si>
  <si>
    <t>xiao_2019</t>
  </si>
  <si>
    <t>xiao_2019_exp_001</t>
  </si>
  <si>
    <t>0.1 mg/kg</t>
  </si>
  <si>
    <t>FIG2D</t>
  </si>
  <si>
    <t>Total distance moved (cm)</t>
  </si>
  <si>
    <t>D014</t>
  </si>
  <si>
    <t>Giongo 2023</t>
  </si>
  <si>
    <t>giongo_2023</t>
  </si>
  <si>
    <t>giongo_2023_exp_002</t>
  </si>
  <si>
    <t>Mixed</t>
  </si>
  <si>
    <t>20 min</t>
  </si>
  <si>
    <t>5 µM</t>
  </si>
  <si>
    <t>Immediately</t>
  </si>
  <si>
    <t>Distance</t>
  </si>
  <si>
    <t>CTRL</t>
  </si>
  <si>
    <t>F002</t>
  </si>
  <si>
    <t>Benvenutti 2021</t>
  </si>
  <si>
    <t>benvenutti_2021</t>
  </si>
  <si>
    <t>benvenutti_2021_exp_001</t>
  </si>
  <si>
    <t>1 µM</t>
  </si>
  <si>
    <t>FIG4C</t>
  </si>
  <si>
    <t>Total distance (m)</t>
  </si>
  <si>
    <t>Ctrl</t>
  </si>
  <si>
    <t>MK-801 1</t>
  </si>
  <si>
    <t>MK-801 5</t>
  </si>
  <si>
    <t>10 µM</t>
  </si>
  <si>
    <t>MK-801 10</t>
  </si>
  <si>
    <t>F011</t>
  </si>
  <si>
    <t>Gururajan 2012</t>
  </si>
  <si>
    <t>gururajan_2012</t>
  </si>
  <si>
    <t>gururajan_2012_exp_001</t>
  </si>
  <si>
    <t>Sprague–Dawley</t>
  </si>
  <si>
    <t>Distance travelled (cm)</t>
  </si>
  <si>
    <t>V1+V2</t>
  </si>
  <si>
    <t>V1+MK0.1</t>
  </si>
  <si>
    <t>High</t>
  </si>
  <si>
    <t>0.3 mg/kg</t>
  </si>
  <si>
    <t>V1+MK0.3</t>
  </si>
  <si>
    <t>gururajan_2012_exp_002</t>
  </si>
  <si>
    <t>FIG5F</t>
  </si>
  <si>
    <t>gururajan_2012_exp_003</t>
  </si>
  <si>
    <t>FIG6F</t>
  </si>
  <si>
    <t>F012</t>
  </si>
  <si>
    <t>Hanks 2013</t>
  </si>
  <si>
    <t>hanks_2013</t>
  </si>
  <si>
    <t>hanks_2013_exp_007</t>
  </si>
  <si>
    <t>Phencyclidine</t>
  </si>
  <si>
    <t>Subcutaneous</t>
  </si>
  <si>
    <t>2 per day</t>
  </si>
  <si>
    <t>5 days</t>
  </si>
  <si>
    <t>5 mg/kg</t>
  </si>
  <si>
    <t>3 days</t>
  </si>
  <si>
    <t>TAB1 PCP s.c. (sub-chronically) - Mean distance</t>
  </si>
  <si>
    <t>Mean distance (cm)</t>
  </si>
  <si>
    <t>V</t>
  </si>
  <si>
    <t>PCP 5</t>
  </si>
  <si>
    <t>hanks_2013_exp_002</t>
  </si>
  <si>
    <t>Neonate</t>
  </si>
  <si>
    <t>15 days</t>
  </si>
  <si>
    <t>TAB1 MK-801 i.p. - Mean distance</t>
  </si>
  <si>
    <t>MK-801 0.1</t>
  </si>
  <si>
    <t>hanks_2013_exp_004</t>
  </si>
  <si>
    <t>0.032 mg/kg</t>
  </si>
  <si>
    <t>15 min</t>
  </si>
  <si>
    <t>TAB1 MK-801 s.c (acute)  15- Mean distance</t>
  </si>
  <si>
    <t>MK-801 0.032</t>
  </si>
  <si>
    <t>0.056 mg/kg</t>
  </si>
  <si>
    <t>MK-801 0.056</t>
  </si>
  <si>
    <t>hanks_2013_exp_003</t>
  </si>
  <si>
    <t>0.178 mg/kg</t>
  </si>
  <si>
    <t>120 min</t>
  </si>
  <si>
    <t>TAB1 MK-801 s.c (acute)  120 - Mean distance</t>
  </si>
  <si>
    <t>MK-801 0.178 (120 min)</t>
  </si>
  <si>
    <t>hanks_2013_exp_005</t>
  </si>
  <si>
    <t>180 min</t>
  </si>
  <si>
    <t>TAB1 MK-801 s.c (acute)  180 - Mean distance</t>
  </si>
  <si>
    <t>MK-801 0.178 (180 min)</t>
  </si>
  <si>
    <t>hanks_2013_exp_001</t>
  </si>
  <si>
    <t>1 mg/kg</t>
  </si>
  <si>
    <t>30 min</t>
  </si>
  <si>
    <t>TAB1 Ketamine s.c (acute)  30 - Mean distance</t>
  </si>
  <si>
    <t>Ketamine 1</t>
  </si>
  <si>
    <t>hanks_2013_exp_006</t>
  </si>
  <si>
    <t>TAB1 PCP (acute) 30  - Mean distance</t>
  </si>
  <si>
    <t>PCP 1</t>
  </si>
  <si>
    <t>3.2 mg/kg</t>
  </si>
  <si>
    <t>PCP 3.2</t>
  </si>
  <si>
    <t>5.6 mg/kg</t>
  </si>
  <si>
    <t>Ketamine 5.6</t>
  </si>
  <si>
    <t>PCP 5.6</t>
  </si>
  <si>
    <t>10 mg/kg</t>
  </si>
  <si>
    <t>Ketamine 10</t>
  </si>
  <si>
    <t>17.8 mg/kg</t>
  </si>
  <si>
    <t>Ketamine 17.8</t>
  </si>
  <si>
    <t>32 mg/kg</t>
  </si>
  <si>
    <t>Ketamine 32</t>
  </si>
  <si>
    <t>F023</t>
  </si>
  <si>
    <t>Kordas 2020</t>
  </si>
  <si>
    <t>kordas_2020</t>
  </si>
  <si>
    <t>kordas_2020_exp_002</t>
  </si>
  <si>
    <t>CD1</t>
  </si>
  <si>
    <t>TAB3 Cd1 pcp</t>
  </si>
  <si>
    <t>Distance travelled (m)</t>
  </si>
  <si>
    <t>Vehicle</t>
  </si>
  <si>
    <t>Phencyclidine 0.1 mg/kg</t>
  </si>
  <si>
    <t>kordas_2020_exp_001</t>
  </si>
  <si>
    <t>TAB3 c57 pcp</t>
  </si>
  <si>
    <t>Phencyclidine 0.3 mg/kg</t>
  </si>
  <si>
    <t>Phencyclidine 1 mg/kg</t>
  </si>
  <si>
    <t>phencyclidine 1 mg/kg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</si>
</sst>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5.56"/>
    <col customWidth="1" min="3" max="3" width="18.67"/>
    <col customWidth="1" min="4" max="4" width="5.56"/>
    <col customWidth="1" min="5" max="5" width="15.67"/>
    <col customWidth="1" min="6" max="6" width="25.67"/>
    <col customWidth="1" min="7" max="7" width="6.11"/>
    <col customWidth="1" min="8" max="8" width="10.78"/>
    <col customWidth="1" min="9" max="9" width="6.11"/>
    <col customWidth="1" min="10" max="10" width="15.78"/>
    <col customWidth="1" min="11" max="11" width="11.0"/>
    <col customWidth="1" min="12" max="12" width="11.78"/>
    <col customWidth="1" min="13" max="15" width="11.0"/>
    <col customWidth="1" min="16" max="18" width="10.56"/>
    <col customWidth="1" min="19" max="24" width="11.0"/>
    <col customWidth="1" min="25" max="25" width="10.33"/>
    <col customWidth="1" min="26" max="27" width="24.89"/>
    <col customWidth="1" min="28" max="28" width="10.44"/>
    <col customWidth="1" min="29" max="29" width="9.78"/>
    <col customWidth="1" min="30" max="30" width="6.22"/>
    <col customWidth="1" min="31" max="31" width="9.44"/>
    <col customWidth="1" min="32" max="32" width="16.56"/>
    <col customWidth="1" min="33" max="33" width="7.0"/>
    <col customWidth="1" min="34" max="34" width="11.11"/>
    <col customWidth="1" min="35" max="35" width="12.0"/>
    <col customWidth="1" min="36" max="36" width="25.0"/>
    <col customWidth="1" min="37" max="37" width="7.22"/>
    <col customWidth="1" min="38" max="40" width="12.0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</row>
    <row r="2" ht="15.75" customHeight="1">
      <c r="A2" s="5" t="s">
        <v>40</v>
      </c>
      <c r="B2" s="6">
        <v>241.0</v>
      </c>
      <c r="C2" s="7" t="s">
        <v>41</v>
      </c>
      <c r="D2" s="6">
        <v>2021.0</v>
      </c>
      <c r="E2" s="5" t="s">
        <v>42</v>
      </c>
      <c r="F2" s="5" t="s">
        <v>43</v>
      </c>
      <c r="G2" s="5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>
        <v>1.0</v>
      </c>
      <c r="P2" s="5" t="s">
        <v>52</v>
      </c>
      <c r="Q2" s="6">
        <v>14.0</v>
      </c>
      <c r="R2" s="6" t="s">
        <v>53</v>
      </c>
      <c r="S2" s="5" t="s">
        <v>54</v>
      </c>
      <c r="T2" s="6">
        <v>0.2</v>
      </c>
      <c r="U2" s="6" t="s">
        <v>53</v>
      </c>
      <c r="V2" s="6">
        <v>2.8000000000000003</v>
      </c>
      <c r="W2" s="5" t="s">
        <v>55</v>
      </c>
      <c r="X2" s="6">
        <v>10080.0</v>
      </c>
      <c r="Y2" s="5" t="s">
        <v>56</v>
      </c>
      <c r="Z2" s="5" t="s">
        <v>57</v>
      </c>
      <c r="AA2" s="6" t="s">
        <v>58</v>
      </c>
      <c r="AB2" s="6" t="s">
        <v>59</v>
      </c>
      <c r="AC2" s="6" t="s">
        <v>60</v>
      </c>
      <c r="AD2" s="6" t="s">
        <v>61</v>
      </c>
      <c r="AE2" s="5">
        <v>1.0</v>
      </c>
      <c r="AF2" s="5" t="s">
        <v>62</v>
      </c>
      <c r="AG2" s="6">
        <v>10.0</v>
      </c>
      <c r="AH2" s="8">
        <v>2017.3293</v>
      </c>
      <c r="AI2" s="6">
        <v>383.0304072462457</v>
      </c>
      <c r="AJ2" s="5" t="s">
        <v>63</v>
      </c>
      <c r="AK2" s="6">
        <v>10.0</v>
      </c>
      <c r="AL2" s="8">
        <v>1878.04945</v>
      </c>
      <c r="AM2" s="6">
        <v>718.865085325543</v>
      </c>
      <c r="AN2" s="6" t="s">
        <v>64</v>
      </c>
    </row>
    <row r="3" ht="15.75" customHeight="1">
      <c r="A3" s="5" t="s">
        <v>65</v>
      </c>
      <c r="B3" s="6">
        <v>243.0</v>
      </c>
      <c r="C3" s="7" t="s">
        <v>66</v>
      </c>
      <c r="D3" s="6">
        <v>2020.0</v>
      </c>
      <c r="E3" s="5" t="s">
        <v>67</v>
      </c>
      <c r="F3" s="5" t="s">
        <v>68</v>
      </c>
      <c r="G3" s="5" t="s">
        <v>69</v>
      </c>
      <c r="H3" s="5" t="s">
        <v>70</v>
      </c>
      <c r="I3" s="6" t="s">
        <v>71</v>
      </c>
      <c r="J3" s="6" t="s">
        <v>47</v>
      </c>
      <c r="K3" s="6" t="s">
        <v>72</v>
      </c>
      <c r="L3" s="6" t="s">
        <v>49</v>
      </c>
      <c r="M3" s="6" t="s">
        <v>50</v>
      </c>
      <c r="N3" s="6" t="s">
        <v>51</v>
      </c>
      <c r="O3" s="6">
        <v>1.0</v>
      </c>
      <c r="P3" s="6" t="s">
        <v>73</v>
      </c>
      <c r="Q3" s="6">
        <v>10.0</v>
      </c>
      <c r="R3" s="6" t="s">
        <v>53</v>
      </c>
      <c r="S3" s="5" t="s">
        <v>74</v>
      </c>
      <c r="T3" s="6">
        <v>20.0</v>
      </c>
      <c r="U3" s="6" t="s">
        <v>53</v>
      </c>
      <c r="V3" s="6">
        <v>200.0</v>
      </c>
      <c r="W3" s="5" t="s">
        <v>75</v>
      </c>
      <c r="X3" s="6">
        <v>1440.0</v>
      </c>
      <c r="Y3" s="5" t="s">
        <v>76</v>
      </c>
      <c r="Z3" s="5" t="s">
        <v>77</v>
      </c>
      <c r="AA3" s="6" t="s">
        <v>58</v>
      </c>
      <c r="AB3" s="6" t="s">
        <v>59</v>
      </c>
      <c r="AC3" s="6" t="s">
        <v>60</v>
      </c>
      <c r="AD3" s="6" t="s">
        <v>61</v>
      </c>
      <c r="AE3" s="5">
        <v>1.0</v>
      </c>
      <c r="AF3" s="5" t="s">
        <v>78</v>
      </c>
      <c r="AG3" s="6">
        <v>10.0</v>
      </c>
      <c r="AH3" s="8">
        <v>864.9111</v>
      </c>
      <c r="AI3" s="6">
        <v>134.0396212954399</v>
      </c>
      <c r="AJ3" s="5" t="s">
        <v>72</v>
      </c>
      <c r="AK3" s="6">
        <v>10.0</v>
      </c>
      <c r="AL3" s="8">
        <v>965.3368499999999</v>
      </c>
      <c r="AM3" s="6">
        <v>147.39218060161818</v>
      </c>
      <c r="AN3" s="6" t="s">
        <v>64</v>
      </c>
    </row>
    <row r="4" ht="15.75" customHeight="1">
      <c r="A4" s="5" t="s">
        <v>79</v>
      </c>
      <c r="B4" s="6">
        <v>317.0</v>
      </c>
      <c r="C4" s="7" t="s">
        <v>80</v>
      </c>
      <c r="D4" s="6">
        <v>2022.0</v>
      </c>
      <c r="E4" s="5" t="s">
        <v>81</v>
      </c>
      <c r="F4" s="5" t="s">
        <v>82</v>
      </c>
      <c r="G4" s="5" t="s">
        <v>83</v>
      </c>
      <c r="H4" s="6" t="s">
        <v>84</v>
      </c>
      <c r="I4" s="6" t="s">
        <v>71</v>
      </c>
      <c r="J4" s="6" t="s">
        <v>85</v>
      </c>
      <c r="K4" s="6" t="s">
        <v>48</v>
      </c>
      <c r="L4" s="6" t="s">
        <v>86</v>
      </c>
      <c r="M4" s="6" t="s">
        <v>50</v>
      </c>
      <c r="N4" s="6" t="s">
        <v>51</v>
      </c>
      <c r="O4" s="6">
        <v>1.0</v>
      </c>
      <c r="P4" s="5" t="s">
        <v>55</v>
      </c>
      <c r="Q4" s="5">
        <v>7.0</v>
      </c>
      <c r="R4" s="6" t="s">
        <v>53</v>
      </c>
      <c r="S4" s="5" t="s">
        <v>87</v>
      </c>
      <c r="T4" s="6" t="s">
        <v>53</v>
      </c>
      <c r="U4" s="6">
        <f>VALUE(LEFT(S4,FIND(" ",S4)-1))</f>
        <v>4</v>
      </c>
      <c r="V4" s="6" t="s">
        <v>53</v>
      </c>
      <c r="W4" s="5" t="s">
        <v>75</v>
      </c>
      <c r="X4" s="6">
        <v>1440.0</v>
      </c>
      <c r="Y4" s="5" t="s">
        <v>88</v>
      </c>
      <c r="Z4" s="5" t="s">
        <v>89</v>
      </c>
      <c r="AA4" s="6" t="s">
        <v>58</v>
      </c>
      <c r="AB4" s="6" t="s">
        <v>59</v>
      </c>
      <c r="AC4" s="6" t="s">
        <v>60</v>
      </c>
      <c r="AD4" s="6" t="s">
        <v>61</v>
      </c>
      <c r="AE4" s="5">
        <v>1.0</v>
      </c>
      <c r="AF4" s="5" t="s">
        <v>90</v>
      </c>
      <c r="AG4" s="6">
        <v>15.0</v>
      </c>
      <c r="AH4" s="8">
        <v>1232.883375</v>
      </c>
      <c r="AI4" s="6">
        <v>329.47777228362554</v>
      </c>
      <c r="AJ4" s="5" t="s">
        <v>48</v>
      </c>
      <c r="AK4" s="6">
        <v>15.0</v>
      </c>
      <c r="AL4" s="8">
        <v>1166.0556165</v>
      </c>
      <c r="AM4" s="6">
        <v>339.58448886383695</v>
      </c>
      <c r="AN4" s="6" t="s">
        <v>64</v>
      </c>
    </row>
    <row r="5" ht="15.75" customHeight="1">
      <c r="A5" s="5" t="s">
        <v>91</v>
      </c>
      <c r="B5" s="6">
        <v>402.0</v>
      </c>
      <c r="C5" s="7" t="s">
        <v>92</v>
      </c>
      <c r="D5" s="6">
        <v>2014.0</v>
      </c>
      <c r="E5" s="5" t="s">
        <v>93</v>
      </c>
      <c r="F5" s="5" t="s">
        <v>94</v>
      </c>
      <c r="G5" s="5" t="s">
        <v>69</v>
      </c>
      <c r="H5" s="5" t="s">
        <v>95</v>
      </c>
      <c r="I5" s="6" t="s">
        <v>71</v>
      </c>
      <c r="J5" s="6" t="s">
        <v>47</v>
      </c>
      <c r="K5" s="6" t="s">
        <v>72</v>
      </c>
      <c r="L5" s="6" t="s">
        <v>49</v>
      </c>
      <c r="M5" s="6" t="s">
        <v>96</v>
      </c>
      <c r="N5" s="6" t="s">
        <v>97</v>
      </c>
      <c r="O5" s="6" t="s">
        <v>53</v>
      </c>
      <c r="P5" s="6" t="s">
        <v>53</v>
      </c>
      <c r="Q5" s="6" t="s">
        <v>53</v>
      </c>
      <c r="R5" s="6" t="s">
        <v>53</v>
      </c>
      <c r="S5" s="5" t="s">
        <v>74</v>
      </c>
      <c r="T5" s="6">
        <v>20.0</v>
      </c>
      <c r="U5" s="6" t="s">
        <v>53</v>
      </c>
      <c r="V5" s="6">
        <v>20.0</v>
      </c>
      <c r="W5" s="5" t="s">
        <v>75</v>
      </c>
      <c r="X5" s="6">
        <v>1440.0</v>
      </c>
      <c r="Y5" s="5" t="s">
        <v>98</v>
      </c>
      <c r="Z5" s="5" t="s">
        <v>77</v>
      </c>
      <c r="AA5" s="6" t="s">
        <v>58</v>
      </c>
      <c r="AB5" s="6" t="s">
        <v>59</v>
      </c>
      <c r="AC5" s="6" t="s">
        <v>60</v>
      </c>
      <c r="AD5" s="6" t="s">
        <v>61</v>
      </c>
      <c r="AE5" s="5">
        <v>1.0</v>
      </c>
      <c r="AF5" s="5" t="s">
        <v>99</v>
      </c>
      <c r="AG5" s="6">
        <v>6.0</v>
      </c>
      <c r="AH5" s="8">
        <v>993.8805</v>
      </c>
      <c r="AI5" s="6">
        <v>268.98402631383186</v>
      </c>
      <c r="AJ5" s="5" t="s">
        <v>100</v>
      </c>
      <c r="AK5" s="6">
        <v>6.0</v>
      </c>
      <c r="AL5" s="8">
        <v>1080.2024999999999</v>
      </c>
      <c r="AM5" s="6">
        <v>349.1485338405421</v>
      </c>
      <c r="AN5" s="6" t="s">
        <v>64</v>
      </c>
    </row>
    <row r="6" ht="15.75" customHeight="1">
      <c r="A6" s="5" t="s">
        <v>101</v>
      </c>
      <c r="B6" s="6">
        <v>458.0</v>
      </c>
      <c r="C6" s="7" t="s">
        <v>102</v>
      </c>
      <c r="D6" s="6">
        <v>2011.0</v>
      </c>
      <c r="E6" s="5" t="s">
        <v>103</v>
      </c>
      <c r="F6" s="5" t="s">
        <v>104</v>
      </c>
      <c r="G6" s="5" t="s">
        <v>69</v>
      </c>
      <c r="H6" s="6" t="s">
        <v>84</v>
      </c>
      <c r="I6" s="6" t="s">
        <v>71</v>
      </c>
      <c r="J6" s="6" t="s">
        <v>85</v>
      </c>
      <c r="K6" s="6" t="s">
        <v>48</v>
      </c>
      <c r="L6" s="6" t="s">
        <v>105</v>
      </c>
      <c r="M6" s="6" t="s">
        <v>106</v>
      </c>
      <c r="N6" s="6" t="s">
        <v>53</v>
      </c>
      <c r="O6" s="6" t="s">
        <v>53</v>
      </c>
      <c r="P6" s="5" t="s">
        <v>55</v>
      </c>
      <c r="Q6" s="6">
        <v>7.0</v>
      </c>
      <c r="R6" s="6" t="s">
        <v>53</v>
      </c>
      <c r="S6" s="5" t="s">
        <v>107</v>
      </c>
      <c r="T6" s="6" t="s">
        <v>53</v>
      </c>
      <c r="U6" s="6" t="s">
        <v>53</v>
      </c>
      <c r="V6" s="6">
        <v>33.6</v>
      </c>
      <c r="W6" s="5" t="s">
        <v>46</v>
      </c>
      <c r="X6" s="5" t="s">
        <v>46</v>
      </c>
      <c r="Y6" s="5" t="s">
        <v>108</v>
      </c>
      <c r="Z6" s="5" t="s">
        <v>109</v>
      </c>
      <c r="AA6" s="6" t="s">
        <v>58</v>
      </c>
      <c r="AB6" s="6" t="s">
        <v>59</v>
      </c>
      <c r="AC6" s="6" t="s">
        <v>60</v>
      </c>
      <c r="AD6" s="6" t="s">
        <v>61</v>
      </c>
      <c r="AE6" s="5">
        <v>1.0</v>
      </c>
      <c r="AF6" s="5" t="s">
        <v>62</v>
      </c>
      <c r="AG6" s="6">
        <v>8.0</v>
      </c>
      <c r="AH6" s="8">
        <v>1772.4125</v>
      </c>
      <c r="AI6" s="6">
        <v>477.86983379368036</v>
      </c>
      <c r="AJ6" s="5" t="s">
        <v>110</v>
      </c>
      <c r="AK6" s="6">
        <v>8.0</v>
      </c>
      <c r="AL6" s="8">
        <v>1448.0355</v>
      </c>
      <c r="AM6" s="6">
        <v>614.6865106719039</v>
      </c>
      <c r="AN6" s="6" t="s">
        <v>64</v>
      </c>
    </row>
    <row r="7" ht="15.75" customHeight="1">
      <c r="A7" s="5" t="s">
        <v>111</v>
      </c>
      <c r="B7" s="6">
        <v>506.0</v>
      </c>
      <c r="C7" s="7" t="s">
        <v>112</v>
      </c>
      <c r="D7" s="6">
        <v>2019.0</v>
      </c>
      <c r="E7" s="5" t="s">
        <v>113</v>
      </c>
      <c r="F7" s="5" t="s">
        <v>114</v>
      </c>
      <c r="G7" s="5" t="s">
        <v>69</v>
      </c>
      <c r="H7" s="5" t="s">
        <v>70</v>
      </c>
      <c r="I7" s="6" t="s">
        <v>71</v>
      </c>
      <c r="J7" s="6" t="s">
        <v>47</v>
      </c>
      <c r="K7" s="6" t="s">
        <v>48</v>
      </c>
      <c r="L7" s="6" t="s">
        <v>49</v>
      </c>
      <c r="M7" s="6" t="s">
        <v>50</v>
      </c>
      <c r="N7" s="6" t="s">
        <v>51</v>
      </c>
      <c r="O7" s="6">
        <v>1.0</v>
      </c>
      <c r="P7" s="5" t="s">
        <v>55</v>
      </c>
      <c r="Q7" s="6">
        <v>7.0</v>
      </c>
      <c r="R7" s="6" t="s">
        <v>53</v>
      </c>
      <c r="S7" s="5" t="s">
        <v>115</v>
      </c>
      <c r="T7" s="6">
        <v>0.1</v>
      </c>
      <c r="U7" s="6" t="s">
        <v>53</v>
      </c>
      <c r="V7" s="6">
        <v>0.7000000000000001</v>
      </c>
      <c r="W7" s="5" t="s">
        <v>46</v>
      </c>
      <c r="X7" s="5" t="s">
        <v>46</v>
      </c>
      <c r="Y7" s="5" t="s">
        <v>116</v>
      </c>
      <c r="Z7" s="5" t="s">
        <v>117</v>
      </c>
      <c r="AA7" s="6" t="s">
        <v>58</v>
      </c>
      <c r="AB7" s="6" t="s">
        <v>59</v>
      </c>
      <c r="AC7" s="6" t="s">
        <v>60</v>
      </c>
      <c r="AD7" s="6" t="s">
        <v>61</v>
      </c>
      <c r="AE7" s="5">
        <v>1.0</v>
      </c>
      <c r="AF7" s="5" t="s">
        <v>78</v>
      </c>
      <c r="AG7" s="6">
        <v>6.0</v>
      </c>
      <c r="AH7" s="8">
        <v>32.1285</v>
      </c>
      <c r="AI7" s="6">
        <v>3.419487680925318</v>
      </c>
      <c r="AJ7" s="5" t="s">
        <v>48</v>
      </c>
      <c r="AK7" s="6">
        <v>6.0</v>
      </c>
      <c r="AL7" s="8">
        <v>31.965000000000003</v>
      </c>
      <c r="AM7" s="6">
        <v>3.047165240022273</v>
      </c>
      <c r="AN7" s="6" t="s">
        <v>64</v>
      </c>
    </row>
    <row r="8" ht="15.75" customHeight="1">
      <c r="A8" s="5" t="s">
        <v>118</v>
      </c>
      <c r="B8" s="6">
        <v>577.0</v>
      </c>
      <c r="C8" s="7" t="s">
        <v>119</v>
      </c>
      <c r="D8" s="6">
        <v>2023.0</v>
      </c>
      <c r="E8" s="5" t="s">
        <v>120</v>
      </c>
      <c r="F8" s="5" t="s">
        <v>121</v>
      </c>
      <c r="G8" s="5" t="s">
        <v>83</v>
      </c>
      <c r="H8" s="6" t="s">
        <v>84</v>
      </c>
      <c r="I8" s="6" t="s">
        <v>122</v>
      </c>
      <c r="J8" s="6" t="s">
        <v>85</v>
      </c>
      <c r="K8" s="6" t="s">
        <v>48</v>
      </c>
      <c r="L8" s="6" t="s">
        <v>86</v>
      </c>
      <c r="M8" s="6" t="s">
        <v>96</v>
      </c>
      <c r="N8" s="6" t="s">
        <v>97</v>
      </c>
      <c r="O8" s="6" t="s">
        <v>53</v>
      </c>
      <c r="P8" s="5" t="s">
        <v>123</v>
      </c>
      <c r="Q8" s="6" t="s">
        <v>53</v>
      </c>
      <c r="R8" s="6">
        <f t="shared" ref="R8:R11" si="1">VALUE(LEFT(P8,FIND(" ",P8)-1))</f>
        <v>20</v>
      </c>
      <c r="S8" s="5" t="s">
        <v>124</v>
      </c>
      <c r="T8" s="6" t="s">
        <v>53</v>
      </c>
      <c r="U8" s="6">
        <f t="shared" ref="U8:U11" si="2">VALUE(LEFT(S8,FIND(" ",S8)-1))</f>
        <v>5</v>
      </c>
      <c r="V8" s="6" t="s">
        <v>53</v>
      </c>
      <c r="W8" s="5" t="s">
        <v>125</v>
      </c>
      <c r="X8" s="5" t="s">
        <v>125</v>
      </c>
      <c r="Y8" s="5" t="s">
        <v>98</v>
      </c>
      <c r="Z8" s="5" t="s">
        <v>126</v>
      </c>
      <c r="AA8" s="6" t="s">
        <v>58</v>
      </c>
      <c r="AB8" s="6" t="s">
        <v>59</v>
      </c>
      <c r="AC8" s="6" t="s">
        <v>60</v>
      </c>
      <c r="AD8" s="6" t="s">
        <v>61</v>
      </c>
      <c r="AE8" s="5">
        <v>1.0</v>
      </c>
      <c r="AF8" s="5" t="s">
        <v>127</v>
      </c>
      <c r="AG8" s="6">
        <v>11.0</v>
      </c>
      <c r="AH8" s="8">
        <v>9.92230509594885</v>
      </c>
      <c r="AI8" s="6">
        <v>3.979874392324149</v>
      </c>
      <c r="AJ8" s="5" t="s">
        <v>63</v>
      </c>
      <c r="AK8" s="6">
        <v>12.0</v>
      </c>
      <c r="AL8" s="8">
        <v>13.508054513148501</v>
      </c>
      <c r="AM8" s="6">
        <v>7.994314143567998</v>
      </c>
      <c r="AN8" s="6" t="s">
        <v>64</v>
      </c>
    </row>
    <row r="9" ht="15.75" customHeight="1">
      <c r="A9" s="5" t="s">
        <v>128</v>
      </c>
      <c r="B9" s="6">
        <v>853.0</v>
      </c>
      <c r="C9" s="7" t="s">
        <v>129</v>
      </c>
      <c r="D9" s="6">
        <v>2021.0</v>
      </c>
      <c r="E9" s="5" t="s">
        <v>130</v>
      </c>
      <c r="F9" s="5" t="s">
        <v>131</v>
      </c>
      <c r="G9" s="5" t="s">
        <v>83</v>
      </c>
      <c r="H9" s="6" t="s">
        <v>84</v>
      </c>
      <c r="I9" s="6" t="s">
        <v>122</v>
      </c>
      <c r="J9" s="6" t="s">
        <v>85</v>
      </c>
      <c r="K9" s="6" t="s">
        <v>48</v>
      </c>
      <c r="L9" s="6" t="s">
        <v>86</v>
      </c>
      <c r="M9" s="6" t="s">
        <v>96</v>
      </c>
      <c r="N9" s="6" t="s">
        <v>97</v>
      </c>
      <c r="O9" s="6" t="s">
        <v>53</v>
      </c>
      <c r="P9" s="5" t="s">
        <v>123</v>
      </c>
      <c r="Q9" s="6" t="s">
        <v>53</v>
      </c>
      <c r="R9" s="6">
        <f t="shared" si="1"/>
        <v>20</v>
      </c>
      <c r="S9" s="5" t="s">
        <v>132</v>
      </c>
      <c r="T9" s="6" t="s">
        <v>53</v>
      </c>
      <c r="U9" s="6">
        <f t="shared" si="2"/>
        <v>1</v>
      </c>
      <c r="V9" s="6" t="s">
        <v>53</v>
      </c>
      <c r="W9" s="5" t="s">
        <v>125</v>
      </c>
      <c r="X9" s="5" t="s">
        <v>125</v>
      </c>
      <c r="Y9" s="5" t="s">
        <v>133</v>
      </c>
      <c r="Z9" s="5" t="s">
        <v>134</v>
      </c>
      <c r="AA9" s="6" t="s">
        <v>58</v>
      </c>
      <c r="AB9" s="6" t="s">
        <v>59</v>
      </c>
      <c r="AC9" s="6" t="s">
        <v>60</v>
      </c>
      <c r="AD9" s="6" t="s">
        <v>61</v>
      </c>
      <c r="AE9" s="5">
        <v>1.0</v>
      </c>
      <c r="AF9" s="5" t="s">
        <v>135</v>
      </c>
      <c r="AG9" s="6">
        <v>12.0</v>
      </c>
      <c r="AH9" s="8">
        <v>12.3049805825245</v>
      </c>
      <c r="AI9" s="6">
        <v>6.763218446601499</v>
      </c>
      <c r="AJ9" s="5" t="s">
        <v>136</v>
      </c>
      <c r="AK9" s="6">
        <v>12.0</v>
      </c>
      <c r="AL9" s="8">
        <v>8.6795922330097</v>
      </c>
      <c r="AM9" s="6">
        <v>5.2615631067963005</v>
      </c>
      <c r="AN9" s="6" t="s">
        <v>64</v>
      </c>
    </row>
    <row r="10" ht="15.75" customHeight="1">
      <c r="A10" s="5" t="s">
        <v>128</v>
      </c>
      <c r="B10" s="6">
        <v>854.0</v>
      </c>
      <c r="C10" s="7" t="s">
        <v>129</v>
      </c>
      <c r="D10" s="6">
        <v>2021.0</v>
      </c>
      <c r="E10" s="5" t="s">
        <v>130</v>
      </c>
      <c r="F10" s="5" t="s">
        <v>131</v>
      </c>
      <c r="G10" s="5" t="s">
        <v>83</v>
      </c>
      <c r="H10" s="6" t="s">
        <v>84</v>
      </c>
      <c r="I10" s="6" t="s">
        <v>122</v>
      </c>
      <c r="J10" s="6" t="s">
        <v>85</v>
      </c>
      <c r="K10" s="6" t="s">
        <v>48</v>
      </c>
      <c r="L10" s="6" t="s">
        <v>86</v>
      </c>
      <c r="M10" s="6" t="s">
        <v>96</v>
      </c>
      <c r="N10" s="6" t="s">
        <v>97</v>
      </c>
      <c r="O10" s="6" t="s">
        <v>53</v>
      </c>
      <c r="P10" s="5" t="s">
        <v>123</v>
      </c>
      <c r="Q10" s="6" t="s">
        <v>53</v>
      </c>
      <c r="R10" s="6">
        <f t="shared" si="1"/>
        <v>20</v>
      </c>
      <c r="S10" s="5" t="s">
        <v>124</v>
      </c>
      <c r="T10" s="6" t="s">
        <v>53</v>
      </c>
      <c r="U10" s="6">
        <f t="shared" si="2"/>
        <v>5</v>
      </c>
      <c r="V10" s="6" t="s">
        <v>53</v>
      </c>
      <c r="W10" s="5" t="s">
        <v>125</v>
      </c>
      <c r="X10" s="5" t="s">
        <v>125</v>
      </c>
      <c r="Y10" s="5" t="s">
        <v>133</v>
      </c>
      <c r="Z10" s="5" t="s">
        <v>134</v>
      </c>
      <c r="AA10" s="6" t="s">
        <v>58</v>
      </c>
      <c r="AB10" s="6" t="s">
        <v>59</v>
      </c>
      <c r="AC10" s="6" t="s">
        <v>60</v>
      </c>
      <c r="AD10" s="6" t="s">
        <v>61</v>
      </c>
      <c r="AE10" s="5">
        <v>1.0</v>
      </c>
      <c r="AF10" s="5" t="s">
        <v>135</v>
      </c>
      <c r="AG10" s="6">
        <v>12.0</v>
      </c>
      <c r="AH10" s="8">
        <v>12.3049805825245</v>
      </c>
      <c r="AI10" s="6">
        <v>6.763218446601499</v>
      </c>
      <c r="AJ10" s="5" t="s">
        <v>137</v>
      </c>
      <c r="AK10" s="6">
        <v>11.0</v>
      </c>
      <c r="AL10" s="8">
        <v>24.490441747573</v>
      </c>
      <c r="AM10" s="8">
        <v>9.375009708737494</v>
      </c>
      <c r="AN10" s="6" t="s">
        <v>64</v>
      </c>
    </row>
    <row r="11" ht="15.75" customHeight="1">
      <c r="A11" s="5" t="s">
        <v>128</v>
      </c>
      <c r="B11" s="6">
        <v>855.0</v>
      </c>
      <c r="C11" s="7" t="s">
        <v>129</v>
      </c>
      <c r="D11" s="6">
        <v>2021.0</v>
      </c>
      <c r="E11" s="5" t="s">
        <v>130</v>
      </c>
      <c r="F11" s="5" t="s">
        <v>131</v>
      </c>
      <c r="G11" s="5" t="s">
        <v>83</v>
      </c>
      <c r="H11" s="6" t="s">
        <v>84</v>
      </c>
      <c r="I11" s="6" t="s">
        <v>122</v>
      </c>
      <c r="J11" s="6" t="s">
        <v>85</v>
      </c>
      <c r="K11" s="6" t="s">
        <v>48</v>
      </c>
      <c r="L11" s="6" t="s">
        <v>86</v>
      </c>
      <c r="M11" s="6" t="s">
        <v>96</v>
      </c>
      <c r="N11" s="6" t="s">
        <v>97</v>
      </c>
      <c r="O11" s="6" t="s">
        <v>53</v>
      </c>
      <c r="P11" s="5" t="s">
        <v>123</v>
      </c>
      <c r="Q11" s="6" t="s">
        <v>53</v>
      </c>
      <c r="R11" s="6">
        <f t="shared" si="1"/>
        <v>20</v>
      </c>
      <c r="S11" s="5" t="s">
        <v>138</v>
      </c>
      <c r="T11" s="6" t="s">
        <v>53</v>
      </c>
      <c r="U11" s="6">
        <f t="shared" si="2"/>
        <v>10</v>
      </c>
      <c r="V11" s="6" t="s">
        <v>53</v>
      </c>
      <c r="W11" s="5" t="s">
        <v>125</v>
      </c>
      <c r="X11" s="5" t="s">
        <v>125</v>
      </c>
      <c r="Y11" s="5" t="s">
        <v>133</v>
      </c>
      <c r="Z11" s="5" t="s">
        <v>134</v>
      </c>
      <c r="AA11" s="6" t="s">
        <v>58</v>
      </c>
      <c r="AB11" s="6" t="s">
        <v>59</v>
      </c>
      <c r="AC11" s="6" t="s">
        <v>60</v>
      </c>
      <c r="AD11" s="6" t="s">
        <v>61</v>
      </c>
      <c r="AE11" s="5">
        <v>1.0</v>
      </c>
      <c r="AF11" s="5" t="s">
        <v>135</v>
      </c>
      <c r="AG11" s="6">
        <v>12.0</v>
      </c>
      <c r="AH11" s="8">
        <v>12.3049805825245</v>
      </c>
      <c r="AI11" s="6">
        <v>6.763218446601499</v>
      </c>
      <c r="AJ11" s="5" t="s">
        <v>139</v>
      </c>
      <c r="AK11" s="6">
        <v>11.0</v>
      </c>
      <c r="AL11" s="8">
        <v>26.850033980582502</v>
      </c>
      <c r="AM11" s="8">
        <v>12.8505388349515</v>
      </c>
      <c r="AN11" s="6" t="s">
        <v>64</v>
      </c>
    </row>
    <row r="12" ht="15.75" customHeight="1">
      <c r="A12" s="5" t="s">
        <v>140</v>
      </c>
      <c r="B12" s="6">
        <v>919.0</v>
      </c>
      <c r="C12" s="7" t="s">
        <v>141</v>
      </c>
      <c r="D12" s="6">
        <v>2012.0</v>
      </c>
      <c r="E12" s="5" t="s">
        <v>142</v>
      </c>
      <c r="F12" s="5" t="s">
        <v>143</v>
      </c>
      <c r="G12" s="5" t="s">
        <v>44</v>
      </c>
      <c r="H12" s="6" t="s">
        <v>144</v>
      </c>
      <c r="I12" s="6" t="s">
        <v>71</v>
      </c>
      <c r="J12" s="6" t="s">
        <v>47</v>
      </c>
      <c r="K12" s="6" t="s">
        <v>48</v>
      </c>
      <c r="L12" s="6" t="s">
        <v>49</v>
      </c>
      <c r="M12" s="6" t="s">
        <v>96</v>
      </c>
      <c r="N12" s="6" t="s">
        <v>97</v>
      </c>
      <c r="O12" s="6" t="s">
        <v>53</v>
      </c>
      <c r="P12" s="6" t="s">
        <v>53</v>
      </c>
      <c r="Q12" s="6" t="s">
        <v>53</v>
      </c>
      <c r="R12" s="6" t="s">
        <v>53</v>
      </c>
      <c r="S12" s="5" t="s">
        <v>115</v>
      </c>
      <c r="T12" s="6">
        <v>0.1</v>
      </c>
      <c r="U12" s="6" t="s">
        <v>53</v>
      </c>
      <c r="V12" s="6">
        <v>0.1</v>
      </c>
      <c r="W12" s="5" t="s">
        <v>123</v>
      </c>
      <c r="X12" s="6">
        <v>20.0</v>
      </c>
      <c r="Y12" s="5" t="s">
        <v>88</v>
      </c>
      <c r="Z12" s="5" t="s">
        <v>145</v>
      </c>
      <c r="AA12" s="6" t="s">
        <v>58</v>
      </c>
      <c r="AB12" s="6" t="s">
        <v>59</v>
      </c>
      <c r="AC12" s="6" t="s">
        <v>60</v>
      </c>
      <c r="AD12" s="6" t="s">
        <v>61</v>
      </c>
      <c r="AE12" s="5">
        <v>1.0</v>
      </c>
      <c r="AF12" s="5" t="s">
        <v>146</v>
      </c>
      <c r="AG12" s="6">
        <v>5.0</v>
      </c>
      <c r="AH12" s="8">
        <v>6420.148</v>
      </c>
      <c r="AI12" s="6">
        <v>591.6737520179529</v>
      </c>
      <c r="AJ12" s="5" t="s">
        <v>147</v>
      </c>
      <c r="AK12" s="6">
        <v>5.0</v>
      </c>
      <c r="AL12" s="8">
        <v>6158.0375</v>
      </c>
      <c r="AM12" s="6">
        <v>1395.795659939877</v>
      </c>
      <c r="AN12" s="6" t="s">
        <v>148</v>
      </c>
    </row>
    <row r="13" ht="15.75" customHeight="1">
      <c r="A13" s="5" t="s">
        <v>140</v>
      </c>
      <c r="B13" s="6">
        <v>920.0</v>
      </c>
      <c r="C13" s="7" t="s">
        <v>141</v>
      </c>
      <c r="D13" s="6">
        <v>2012.0</v>
      </c>
      <c r="E13" s="5" t="s">
        <v>142</v>
      </c>
      <c r="F13" s="5" t="s">
        <v>143</v>
      </c>
      <c r="G13" s="5" t="s">
        <v>44</v>
      </c>
      <c r="H13" s="6" t="s">
        <v>144</v>
      </c>
      <c r="I13" s="6" t="s">
        <v>71</v>
      </c>
      <c r="J13" s="6" t="s">
        <v>47</v>
      </c>
      <c r="K13" s="6" t="s">
        <v>48</v>
      </c>
      <c r="L13" s="6" t="s">
        <v>49</v>
      </c>
      <c r="M13" s="6" t="s">
        <v>96</v>
      </c>
      <c r="N13" s="6" t="s">
        <v>97</v>
      </c>
      <c r="O13" s="6" t="s">
        <v>53</v>
      </c>
      <c r="P13" s="6" t="s">
        <v>53</v>
      </c>
      <c r="Q13" s="6" t="s">
        <v>53</v>
      </c>
      <c r="R13" s="6" t="s">
        <v>53</v>
      </c>
      <c r="S13" s="5" t="s">
        <v>149</v>
      </c>
      <c r="T13" s="6">
        <v>0.3</v>
      </c>
      <c r="U13" s="6" t="s">
        <v>53</v>
      </c>
      <c r="V13" s="6">
        <v>0.3</v>
      </c>
      <c r="W13" s="5" t="s">
        <v>123</v>
      </c>
      <c r="X13" s="6">
        <v>20.0</v>
      </c>
      <c r="Y13" s="5" t="s">
        <v>88</v>
      </c>
      <c r="Z13" s="5" t="s">
        <v>145</v>
      </c>
      <c r="AA13" s="6" t="s">
        <v>58</v>
      </c>
      <c r="AB13" s="6" t="s">
        <v>59</v>
      </c>
      <c r="AC13" s="6" t="s">
        <v>60</v>
      </c>
      <c r="AD13" s="6" t="s">
        <v>61</v>
      </c>
      <c r="AE13" s="5">
        <v>1.0</v>
      </c>
      <c r="AF13" s="5" t="s">
        <v>146</v>
      </c>
      <c r="AG13" s="6">
        <v>5.0</v>
      </c>
      <c r="AH13" s="8">
        <v>6420.148</v>
      </c>
      <c r="AI13" s="6">
        <v>591.6737520179529</v>
      </c>
      <c r="AJ13" s="5" t="s">
        <v>150</v>
      </c>
      <c r="AK13" s="6">
        <v>5.0</v>
      </c>
      <c r="AL13" s="8">
        <v>15220.190999999999</v>
      </c>
      <c r="AM13" s="6">
        <v>6469.171661151995</v>
      </c>
      <c r="AN13" s="6" t="s">
        <v>148</v>
      </c>
    </row>
    <row r="14" ht="15.75" customHeight="1">
      <c r="A14" s="5" t="s">
        <v>140</v>
      </c>
      <c r="B14" s="6">
        <v>925.0</v>
      </c>
      <c r="C14" s="7" t="s">
        <v>141</v>
      </c>
      <c r="D14" s="6">
        <v>2012.0</v>
      </c>
      <c r="E14" s="5" t="s">
        <v>142</v>
      </c>
      <c r="F14" s="5" t="s">
        <v>151</v>
      </c>
      <c r="G14" s="5" t="s">
        <v>44</v>
      </c>
      <c r="H14" s="6" t="s">
        <v>144</v>
      </c>
      <c r="I14" s="6" t="s">
        <v>71</v>
      </c>
      <c r="J14" s="6" t="s">
        <v>47</v>
      </c>
      <c r="K14" s="6" t="s">
        <v>48</v>
      </c>
      <c r="L14" s="6" t="s">
        <v>49</v>
      </c>
      <c r="M14" s="6" t="s">
        <v>96</v>
      </c>
      <c r="N14" s="6" t="s">
        <v>97</v>
      </c>
      <c r="O14" s="6" t="s">
        <v>53</v>
      </c>
      <c r="P14" s="6" t="s">
        <v>53</v>
      </c>
      <c r="Q14" s="6" t="s">
        <v>53</v>
      </c>
      <c r="R14" s="6" t="s">
        <v>53</v>
      </c>
      <c r="S14" s="5" t="s">
        <v>149</v>
      </c>
      <c r="T14" s="6">
        <v>0.3</v>
      </c>
      <c r="U14" s="6" t="s">
        <v>53</v>
      </c>
      <c r="V14" s="6">
        <v>0.3</v>
      </c>
      <c r="W14" s="5" t="s">
        <v>123</v>
      </c>
      <c r="X14" s="6">
        <v>20.0</v>
      </c>
      <c r="Y14" s="5" t="s">
        <v>152</v>
      </c>
      <c r="Z14" s="5" t="s">
        <v>145</v>
      </c>
      <c r="AA14" s="6" t="s">
        <v>58</v>
      </c>
      <c r="AB14" s="6" t="s">
        <v>59</v>
      </c>
      <c r="AC14" s="6" t="s">
        <v>60</v>
      </c>
      <c r="AD14" s="6" t="s">
        <v>61</v>
      </c>
      <c r="AE14" s="5">
        <v>1.0</v>
      </c>
      <c r="AF14" s="5" t="s">
        <v>146</v>
      </c>
      <c r="AG14" s="6">
        <v>5.0</v>
      </c>
      <c r="AH14" s="8">
        <v>6387.609</v>
      </c>
      <c r="AI14" s="6">
        <v>680.2335098089482</v>
      </c>
      <c r="AJ14" s="5" t="s">
        <v>150</v>
      </c>
      <c r="AK14" s="6">
        <v>5.0</v>
      </c>
      <c r="AL14" s="8">
        <v>15038.7795</v>
      </c>
      <c r="AM14" s="6">
        <v>6743.1717066045385</v>
      </c>
      <c r="AN14" s="6" t="s">
        <v>148</v>
      </c>
    </row>
    <row r="15" ht="15.75" customHeight="1">
      <c r="A15" s="5" t="s">
        <v>140</v>
      </c>
      <c r="B15" s="6">
        <v>929.0</v>
      </c>
      <c r="C15" s="7" t="s">
        <v>141</v>
      </c>
      <c r="D15" s="6">
        <v>2012.0</v>
      </c>
      <c r="E15" s="5" t="s">
        <v>142</v>
      </c>
      <c r="F15" s="5" t="s">
        <v>153</v>
      </c>
      <c r="G15" s="5" t="s">
        <v>44</v>
      </c>
      <c r="H15" s="6" t="s">
        <v>144</v>
      </c>
      <c r="I15" s="6" t="s">
        <v>71</v>
      </c>
      <c r="J15" s="6" t="s">
        <v>47</v>
      </c>
      <c r="K15" s="6" t="s">
        <v>48</v>
      </c>
      <c r="L15" s="6" t="s">
        <v>49</v>
      </c>
      <c r="M15" s="6" t="s">
        <v>96</v>
      </c>
      <c r="N15" s="6" t="s">
        <v>97</v>
      </c>
      <c r="O15" s="6" t="s">
        <v>53</v>
      </c>
      <c r="P15" s="6" t="s">
        <v>53</v>
      </c>
      <c r="Q15" s="6" t="s">
        <v>53</v>
      </c>
      <c r="R15" s="6" t="s">
        <v>53</v>
      </c>
      <c r="S15" s="5" t="s">
        <v>149</v>
      </c>
      <c r="T15" s="6">
        <v>0.3</v>
      </c>
      <c r="U15" s="6" t="s">
        <v>53</v>
      </c>
      <c r="V15" s="6">
        <v>0.3</v>
      </c>
      <c r="W15" s="5" t="s">
        <v>123</v>
      </c>
      <c r="X15" s="6">
        <v>20.0</v>
      </c>
      <c r="Y15" s="5" t="s">
        <v>154</v>
      </c>
      <c r="Z15" s="5" t="s">
        <v>145</v>
      </c>
      <c r="AA15" s="6" t="s">
        <v>58</v>
      </c>
      <c r="AB15" s="6" t="s">
        <v>59</v>
      </c>
      <c r="AC15" s="6" t="s">
        <v>60</v>
      </c>
      <c r="AD15" s="6" t="s">
        <v>61</v>
      </c>
      <c r="AE15" s="5">
        <v>1.0</v>
      </c>
      <c r="AF15" s="5" t="s">
        <v>146</v>
      </c>
      <c r="AG15" s="6">
        <v>5.0</v>
      </c>
      <c r="AH15" s="8">
        <v>6361.734</v>
      </c>
      <c r="AI15" s="6">
        <v>683.5313345465569</v>
      </c>
      <c r="AJ15" s="5" t="s">
        <v>150</v>
      </c>
      <c r="AK15" s="6">
        <v>5.0</v>
      </c>
      <c r="AL15" s="8">
        <v>15090.18</v>
      </c>
      <c r="AM15" s="6">
        <v>6505.347274318876</v>
      </c>
      <c r="AN15" s="6" t="s">
        <v>148</v>
      </c>
    </row>
    <row r="16" ht="15.75" customHeight="1">
      <c r="A16" s="5" t="s">
        <v>155</v>
      </c>
      <c r="B16" s="6">
        <v>960.0</v>
      </c>
      <c r="C16" s="7" t="s">
        <v>156</v>
      </c>
      <c r="D16" s="6">
        <v>2013.0</v>
      </c>
      <c r="E16" s="5" t="s">
        <v>157</v>
      </c>
      <c r="F16" s="5" t="s">
        <v>158</v>
      </c>
      <c r="G16" s="5" t="s">
        <v>69</v>
      </c>
      <c r="H16" s="5" t="s">
        <v>95</v>
      </c>
      <c r="I16" s="6" t="s">
        <v>71</v>
      </c>
      <c r="J16" s="6" t="s">
        <v>85</v>
      </c>
      <c r="K16" s="6" t="s">
        <v>159</v>
      </c>
      <c r="L16" s="6" t="s">
        <v>160</v>
      </c>
      <c r="M16" s="6" t="s">
        <v>50</v>
      </c>
      <c r="N16" s="6" t="s">
        <v>161</v>
      </c>
      <c r="O16" s="6">
        <v>2.0</v>
      </c>
      <c r="P16" s="5" t="s">
        <v>162</v>
      </c>
      <c r="Q16" s="6">
        <v>5.0</v>
      </c>
      <c r="R16" s="6" t="s">
        <v>53</v>
      </c>
      <c r="S16" s="5" t="s">
        <v>163</v>
      </c>
      <c r="T16" s="6">
        <v>5.0</v>
      </c>
      <c r="U16" s="6" t="s">
        <v>53</v>
      </c>
      <c r="V16" s="6">
        <v>50.0</v>
      </c>
      <c r="W16" s="5" t="s">
        <v>164</v>
      </c>
      <c r="X16" s="6">
        <v>4320.0</v>
      </c>
      <c r="Y16" s="5" t="s">
        <v>165</v>
      </c>
      <c r="Z16" s="5" t="s">
        <v>166</v>
      </c>
      <c r="AA16" s="6" t="s">
        <v>58</v>
      </c>
      <c r="AB16" s="6" t="s">
        <v>59</v>
      </c>
      <c r="AC16" s="6" t="s">
        <v>60</v>
      </c>
      <c r="AD16" s="6" t="s">
        <v>61</v>
      </c>
      <c r="AE16" s="5">
        <v>1.0</v>
      </c>
      <c r="AF16" s="5" t="s">
        <v>167</v>
      </c>
      <c r="AG16" s="6">
        <v>16.0</v>
      </c>
      <c r="AH16" s="8">
        <v>10870.0</v>
      </c>
      <c r="AI16" s="6">
        <v>1840.0</v>
      </c>
      <c r="AJ16" s="5" t="s">
        <v>168</v>
      </c>
      <c r="AK16" s="6">
        <v>16.0</v>
      </c>
      <c r="AL16" s="8">
        <v>11869.0</v>
      </c>
      <c r="AM16" s="6">
        <v>2208.0</v>
      </c>
      <c r="AN16" s="6" t="s">
        <v>148</v>
      </c>
    </row>
    <row r="17" ht="15.75" customHeight="1">
      <c r="A17" s="5" t="s">
        <v>155</v>
      </c>
      <c r="B17" s="6">
        <v>942.0</v>
      </c>
      <c r="C17" s="7" t="s">
        <v>156</v>
      </c>
      <c r="D17" s="6">
        <v>2013.0</v>
      </c>
      <c r="E17" s="5" t="s">
        <v>157</v>
      </c>
      <c r="F17" s="5" t="s">
        <v>169</v>
      </c>
      <c r="G17" s="5" t="s">
        <v>69</v>
      </c>
      <c r="H17" s="5" t="s">
        <v>95</v>
      </c>
      <c r="I17" s="6" t="s">
        <v>71</v>
      </c>
      <c r="J17" s="5" t="s">
        <v>170</v>
      </c>
      <c r="K17" s="6" t="s">
        <v>48</v>
      </c>
      <c r="L17" s="6" t="s">
        <v>49</v>
      </c>
      <c r="M17" s="6" t="s">
        <v>50</v>
      </c>
      <c r="N17" s="6" t="s">
        <v>51</v>
      </c>
      <c r="O17" s="6">
        <v>1.0</v>
      </c>
      <c r="P17" s="5" t="s">
        <v>171</v>
      </c>
      <c r="Q17" s="6">
        <v>15.0</v>
      </c>
      <c r="R17" s="6" t="s">
        <v>53</v>
      </c>
      <c r="S17" s="5" t="s">
        <v>115</v>
      </c>
      <c r="T17" s="6">
        <v>0.1</v>
      </c>
      <c r="U17" s="6" t="s">
        <v>53</v>
      </c>
      <c r="V17" s="6">
        <v>1.5</v>
      </c>
      <c r="W17" s="5" t="s">
        <v>46</v>
      </c>
      <c r="X17" s="5" t="s">
        <v>46</v>
      </c>
      <c r="Y17" s="5" t="s">
        <v>172</v>
      </c>
      <c r="Z17" s="5" t="s">
        <v>166</v>
      </c>
      <c r="AA17" s="6" t="s">
        <v>58</v>
      </c>
      <c r="AB17" s="6" t="s">
        <v>59</v>
      </c>
      <c r="AC17" s="6" t="s">
        <v>60</v>
      </c>
      <c r="AD17" s="6" t="s">
        <v>61</v>
      </c>
      <c r="AE17" s="5">
        <v>1.0</v>
      </c>
      <c r="AF17" s="5" t="s">
        <v>167</v>
      </c>
      <c r="AG17" s="6">
        <v>6.0</v>
      </c>
      <c r="AH17" s="8">
        <v>4676.0</v>
      </c>
      <c r="AI17" s="6">
        <v>5342.337129010111</v>
      </c>
      <c r="AJ17" s="5" t="s">
        <v>173</v>
      </c>
      <c r="AK17" s="6">
        <v>13.0</v>
      </c>
      <c r="AL17" s="8">
        <v>4679.0</v>
      </c>
      <c r="AM17" s="6">
        <v>9421.305482787404</v>
      </c>
      <c r="AN17" s="6" t="s">
        <v>148</v>
      </c>
    </row>
    <row r="18" ht="15.75" customHeight="1">
      <c r="A18" s="5" t="s">
        <v>155</v>
      </c>
      <c r="B18" s="6">
        <v>948.0</v>
      </c>
      <c r="C18" s="7" t="s">
        <v>156</v>
      </c>
      <c r="D18" s="6">
        <v>2013.0</v>
      </c>
      <c r="E18" s="5" t="s">
        <v>157</v>
      </c>
      <c r="F18" s="5" t="s">
        <v>174</v>
      </c>
      <c r="G18" s="5" t="s">
        <v>69</v>
      </c>
      <c r="H18" s="5" t="s">
        <v>95</v>
      </c>
      <c r="I18" s="6" t="s">
        <v>71</v>
      </c>
      <c r="J18" s="6" t="s">
        <v>85</v>
      </c>
      <c r="K18" s="6" t="s">
        <v>48</v>
      </c>
      <c r="L18" s="6" t="s">
        <v>160</v>
      </c>
      <c r="M18" s="6" t="s">
        <v>96</v>
      </c>
      <c r="N18" s="6" t="s">
        <v>97</v>
      </c>
      <c r="O18" s="6" t="s">
        <v>53</v>
      </c>
      <c r="P18" s="6" t="s">
        <v>53</v>
      </c>
      <c r="Q18" s="6" t="s">
        <v>53</v>
      </c>
      <c r="R18" s="6" t="s">
        <v>53</v>
      </c>
      <c r="S18" s="5" t="s">
        <v>175</v>
      </c>
      <c r="T18" s="6">
        <v>0.032</v>
      </c>
      <c r="U18" s="6" t="s">
        <v>53</v>
      </c>
      <c r="V18" s="6">
        <v>0.032</v>
      </c>
      <c r="W18" s="5" t="s">
        <v>176</v>
      </c>
      <c r="X18" s="6">
        <v>15.0</v>
      </c>
      <c r="Y18" s="5" t="s">
        <v>177</v>
      </c>
      <c r="Z18" s="5" t="s">
        <v>166</v>
      </c>
      <c r="AA18" s="6" t="s">
        <v>58</v>
      </c>
      <c r="AB18" s="6" t="s">
        <v>59</v>
      </c>
      <c r="AC18" s="6" t="s">
        <v>60</v>
      </c>
      <c r="AD18" s="6" t="s">
        <v>61</v>
      </c>
      <c r="AE18" s="5">
        <v>1.0</v>
      </c>
      <c r="AF18" s="5" t="s">
        <v>167</v>
      </c>
      <c r="AG18" s="6">
        <v>20.0</v>
      </c>
      <c r="AH18" s="8">
        <v>17198.0</v>
      </c>
      <c r="AI18" s="6">
        <v>2647.504485359751</v>
      </c>
      <c r="AJ18" s="5" t="s">
        <v>178</v>
      </c>
      <c r="AK18" s="6">
        <v>20.0</v>
      </c>
      <c r="AL18" s="8">
        <v>17265.0</v>
      </c>
      <c r="AM18" s="6">
        <v>4744.936248254554</v>
      </c>
      <c r="AN18" s="6" t="s">
        <v>148</v>
      </c>
    </row>
    <row r="19" ht="15.75" customHeight="1">
      <c r="A19" s="5" t="s">
        <v>155</v>
      </c>
      <c r="B19" s="6">
        <v>949.0</v>
      </c>
      <c r="C19" s="7" t="s">
        <v>156</v>
      </c>
      <c r="D19" s="6">
        <v>2013.0</v>
      </c>
      <c r="E19" s="5" t="s">
        <v>157</v>
      </c>
      <c r="F19" s="5" t="s">
        <v>174</v>
      </c>
      <c r="G19" s="5" t="s">
        <v>69</v>
      </c>
      <c r="H19" s="5" t="s">
        <v>95</v>
      </c>
      <c r="I19" s="6" t="s">
        <v>71</v>
      </c>
      <c r="J19" s="6" t="s">
        <v>85</v>
      </c>
      <c r="K19" s="6" t="s">
        <v>48</v>
      </c>
      <c r="L19" s="6" t="s">
        <v>160</v>
      </c>
      <c r="M19" s="6" t="s">
        <v>96</v>
      </c>
      <c r="N19" s="6" t="s">
        <v>97</v>
      </c>
      <c r="O19" s="6" t="s">
        <v>53</v>
      </c>
      <c r="P19" s="6" t="s">
        <v>53</v>
      </c>
      <c r="Q19" s="6" t="s">
        <v>53</v>
      </c>
      <c r="R19" s="6" t="s">
        <v>53</v>
      </c>
      <c r="S19" s="5" t="s">
        <v>179</v>
      </c>
      <c r="T19" s="6">
        <v>0.056</v>
      </c>
      <c r="U19" s="6" t="s">
        <v>53</v>
      </c>
      <c r="V19" s="6">
        <v>0.056</v>
      </c>
      <c r="W19" s="5" t="s">
        <v>176</v>
      </c>
      <c r="X19" s="6">
        <v>15.0</v>
      </c>
      <c r="Y19" s="5" t="s">
        <v>177</v>
      </c>
      <c r="Z19" s="5" t="s">
        <v>166</v>
      </c>
      <c r="AA19" s="6" t="s">
        <v>58</v>
      </c>
      <c r="AB19" s="6" t="s">
        <v>59</v>
      </c>
      <c r="AC19" s="6" t="s">
        <v>60</v>
      </c>
      <c r="AD19" s="6" t="s">
        <v>61</v>
      </c>
      <c r="AE19" s="5">
        <v>1.0</v>
      </c>
      <c r="AF19" s="5" t="s">
        <v>167</v>
      </c>
      <c r="AG19" s="6">
        <v>20.0</v>
      </c>
      <c r="AH19" s="8">
        <v>17198.0</v>
      </c>
      <c r="AI19" s="6">
        <v>2647.504485359751</v>
      </c>
      <c r="AJ19" s="5" t="s">
        <v>180</v>
      </c>
      <c r="AK19" s="6">
        <v>18.0</v>
      </c>
      <c r="AL19" s="8">
        <v>17738.0</v>
      </c>
      <c r="AM19" s="8">
        <v>4883.279430874297</v>
      </c>
      <c r="AN19" s="6" t="s">
        <v>148</v>
      </c>
    </row>
    <row r="20" ht="15.75" customHeight="1">
      <c r="A20" s="5" t="s">
        <v>155</v>
      </c>
      <c r="B20" s="6">
        <v>950.0</v>
      </c>
      <c r="C20" s="7" t="s">
        <v>156</v>
      </c>
      <c r="D20" s="6">
        <v>2013.0</v>
      </c>
      <c r="E20" s="5" t="s">
        <v>157</v>
      </c>
      <c r="F20" s="5" t="s">
        <v>174</v>
      </c>
      <c r="G20" s="5" t="s">
        <v>69</v>
      </c>
      <c r="H20" s="5" t="s">
        <v>95</v>
      </c>
      <c r="I20" s="6" t="s">
        <v>71</v>
      </c>
      <c r="J20" s="6" t="s">
        <v>85</v>
      </c>
      <c r="K20" s="6" t="s">
        <v>48</v>
      </c>
      <c r="L20" s="6" t="s">
        <v>160</v>
      </c>
      <c r="M20" s="6" t="s">
        <v>96</v>
      </c>
      <c r="N20" s="6" t="s">
        <v>97</v>
      </c>
      <c r="O20" s="6" t="s">
        <v>53</v>
      </c>
      <c r="P20" s="6" t="s">
        <v>53</v>
      </c>
      <c r="Q20" s="6" t="s">
        <v>53</v>
      </c>
      <c r="R20" s="6" t="s">
        <v>53</v>
      </c>
      <c r="S20" s="5" t="s">
        <v>115</v>
      </c>
      <c r="T20" s="6">
        <v>0.1</v>
      </c>
      <c r="U20" s="6" t="s">
        <v>53</v>
      </c>
      <c r="V20" s="6">
        <v>0.1</v>
      </c>
      <c r="W20" s="5" t="s">
        <v>176</v>
      </c>
      <c r="X20" s="6">
        <v>15.0</v>
      </c>
      <c r="Y20" s="5" t="s">
        <v>177</v>
      </c>
      <c r="Z20" s="5" t="s">
        <v>166</v>
      </c>
      <c r="AA20" s="6" t="s">
        <v>58</v>
      </c>
      <c r="AB20" s="6" t="s">
        <v>59</v>
      </c>
      <c r="AC20" s="6" t="s">
        <v>60</v>
      </c>
      <c r="AD20" s="6" t="s">
        <v>61</v>
      </c>
      <c r="AE20" s="5">
        <v>1.0</v>
      </c>
      <c r="AF20" s="5" t="s">
        <v>167</v>
      </c>
      <c r="AG20" s="6">
        <v>20.0</v>
      </c>
      <c r="AH20" s="8">
        <v>17198.0</v>
      </c>
      <c r="AI20" s="6">
        <v>2647.504485359751</v>
      </c>
      <c r="AJ20" s="5" t="s">
        <v>173</v>
      </c>
      <c r="AK20" s="6">
        <v>20.0</v>
      </c>
      <c r="AL20" s="8">
        <v>14207.0</v>
      </c>
      <c r="AM20" s="8">
        <v>4458.719547134581</v>
      </c>
      <c r="AN20" s="6" t="s">
        <v>148</v>
      </c>
    </row>
    <row r="21" ht="15.75" customHeight="1">
      <c r="A21" s="5" t="s">
        <v>155</v>
      </c>
      <c r="B21" s="6">
        <v>944.0</v>
      </c>
      <c r="C21" s="7" t="s">
        <v>156</v>
      </c>
      <c r="D21" s="6">
        <v>2013.0</v>
      </c>
      <c r="E21" s="5" t="s">
        <v>157</v>
      </c>
      <c r="F21" s="5" t="s">
        <v>181</v>
      </c>
      <c r="G21" s="5" t="s">
        <v>69</v>
      </c>
      <c r="H21" s="5" t="s">
        <v>95</v>
      </c>
      <c r="I21" s="6" t="s">
        <v>71</v>
      </c>
      <c r="J21" s="6" t="s">
        <v>85</v>
      </c>
      <c r="K21" s="6" t="s">
        <v>48</v>
      </c>
      <c r="L21" s="6" t="s">
        <v>160</v>
      </c>
      <c r="M21" s="6" t="s">
        <v>96</v>
      </c>
      <c r="N21" s="6" t="s">
        <v>97</v>
      </c>
      <c r="O21" s="6" t="s">
        <v>53</v>
      </c>
      <c r="P21" s="6" t="s">
        <v>53</v>
      </c>
      <c r="Q21" s="6" t="s">
        <v>53</v>
      </c>
      <c r="R21" s="6" t="s">
        <v>53</v>
      </c>
      <c r="S21" s="5" t="s">
        <v>182</v>
      </c>
      <c r="T21" s="6">
        <v>0.178</v>
      </c>
      <c r="U21" s="6" t="s">
        <v>53</v>
      </c>
      <c r="V21" s="6">
        <v>0.178</v>
      </c>
      <c r="W21" s="5" t="s">
        <v>183</v>
      </c>
      <c r="X21" s="6">
        <v>120.0</v>
      </c>
      <c r="Y21" s="5" t="s">
        <v>184</v>
      </c>
      <c r="Z21" s="5" t="s">
        <v>166</v>
      </c>
      <c r="AA21" s="6" t="s">
        <v>58</v>
      </c>
      <c r="AB21" s="6" t="s">
        <v>59</v>
      </c>
      <c r="AC21" s="6" t="s">
        <v>60</v>
      </c>
      <c r="AD21" s="6" t="s">
        <v>61</v>
      </c>
      <c r="AE21" s="5">
        <v>1.0</v>
      </c>
      <c r="AF21" s="5" t="s">
        <v>167</v>
      </c>
      <c r="AG21" s="6">
        <v>10.0</v>
      </c>
      <c r="AH21" s="8">
        <v>11770.0</v>
      </c>
      <c r="AI21" s="6">
        <v>1347.1302832317297</v>
      </c>
      <c r="AJ21" s="5" t="s">
        <v>185</v>
      </c>
      <c r="AK21" s="6">
        <v>10.0</v>
      </c>
      <c r="AL21" s="8">
        <v>11009.0</v>
      </c>
      <c r="AM21" s="6">
        <v>2507.686184513525</v>
      </c>
      <c r="AN21" s="6" t="s">
        <v>148</v>
      </c>
    </row>
    <row r="22" ht="15.75" customHeight="1">
      <c r="A22" s="5" t="s">
        <v>155</v>
      </c>
      <c r="B22" s="6">
        <v>952.0</v>
      </c>
      <c r="C22" s="7" t="s">
        <v>156</v>
      </c>
      <c r="D22" s="6">
        <v>2013.0</v>
      </c>
      <c r="E22" s="5" t="s">
        <v>157</v>
      </c>
      <c r="F22" s="5" t="s">
        <v>186</v>
      </c>
      <c r="G22" s="5" t="s">
        <v>69</v>
      </c>
      <c r="H22" s="5" t="s">
        <v>95</v>
      </c>
      <c r="I22" s="6" t="s">
        <v>71</v>
      </c>
      <c r="J22" s="6" t="s">
        <v>85</v>
      </c>
      <c r="K22" s="6" t="s">
        <v>48</v>
      </c>
      <c r="L22" s="6" t="s">
        <v>160</v>
      </c>
      <c r="M22" s="6" t="s">
        <v>96</v>
      </c>
      <c r="N22" s="6" t="s">
        <v>97</v>
      </c>
      <c r="O22" s="6" t="s">
        <v>53</v>
      </c>
      <c r="P22" s="6" t="s">
        <v>53</v>
      </c>
      <c r="Q22" s="6" t="s">
        <v>53</v>
      </c>
      <c r="R22" s="6" t="s">
        <v>53</v>
      </c>
      <c r="S22" s="5" t="s">
        <v>182</v>
      </c>
      <c r="T22" s="6">
        <v>0.178</v>
      </c>
      <c r="U22" s="6" t="s">
        <v>53</v>
      </c>
      <c r="V22" s="6">
        <v>0.178</v>
      </c>
      <c r="W22" s="5" t="s">
        <v>187</v>
      </c>
      <c r="X22" s="6">
        <v>180.0</v>
      </c>
      <c r="Y22" s="5" t="s">
        <v>188</v>
      </c>
      <c r="Z22" s="5" t="s">
        <v>166</v>
      </c>
      <c r="AA22" s="6" t="s">
        <v>58</v>
      </c>
      <c r="AB22" s="6" t="s">
        <v>59</v>
      </c>
      <c r="AC22" s="6" t="s">
        <v>60</v>
      </c>
      <c r="AD22" s="6" t="s">
        <v>61</v>
      </c>
      <c r="AE22" s="5">
        <v>1.0</v>
      </c>
      <c r="AF22" s="5" t="s">
        <v>167</v>
      </c>
      <c r="AG22" s="6">
        <v>10.0</v>
      </c>
      <c r="AH22" s="8">
        <v>11727.0</v>
      </c>
      <c r="AI22" s="6">
        <v>2049.15592378911</v>
      </c>
      <c r="AJ22" s="5" t="s">
        <v>189</v>
      </c>
      <c r="AK22" s="6">
        <v>10.0</v>
      </c>
      <c r="AL22" s="8">
        <v>13276.0</v>
      </c>
      <c r="AM22" s="6">
        <v>3608.158810252121</v>
      </c>
      <c r="AN22" s="6" t="s">
        <v>148</v>
      </c>
    </row>
    <row r="23" ht="15.75" customHeight="1">
      <c r="A23" s="5" t="s">
        <v>155</v>
      </c>
      <c r="B23" s="6">
        <v>936.0</v>
      </c>
      <c r="C23" s="7" t="s">
        <v>156</v>
      </c>
      <c r="D23" s="6">
        <v>2013.0</v>
      </c>
      <c r="E23" s="5" t="s">
        <v>157</v>
      </c>
      <c r="F23" s="5" t="s">
        <v>190</v>
      </c>
      <c r="G23" s="5" t="s">
        <v>69</v>
      </c>
      <c r="H23" s="5" t="s">
        <v>95</v>
      </c>
      <c r="I23" s="6" t="s">
        <v>71</v>
      </c>
      <c r="J23" s="6" t="s">
        <v>85</v>
      </c>
      <c r="K23" s="6" t="s">
        <v>72</v>
      </c>
      <c r="L23" s="6" t="s">
        <v>160</v>
      </c>
      <c r="M23" s="6" t="s">
        <v>96</v>
      </c>
      <c r="N23" s="6" t="s">
        <v>97</v>
      </c>
      <c r="O23" s="6" t="s">
        <v>53</v>
      </c>
      <c r="P23" s="6" t="s">
        <v>53</v>
      </c>
      <c r="Q23" s="6" t="s">
        <v>53</v>
      </c>
      <c r="R23" s="6" t="s">
        <v>53</v>
      </c>
      <c r="S23" s="5" t="s">
        <v>191</v>
      </c>
      <c r="T23" s="6">
        <v>1.0</v>
      </c>
      <c r="U23" s="6" t="s">
        <v>53</v>
      </c>
      <c r="V23" s="6">
        <v>1.0</v>
      </c>
      <c r="W23" s="5" t="s">
        <v>192</v>
      </c>
      <c r="X23" s="6">
        <v>30.0</v>
      </c>
      <c r="Y23" s="5" t="s">
        <v>193</v>
      </c>
      <c r="Z23" s="5" t="s">
        <v>166</v>
      </c>
      <c r="AA23" s="6" t="s">
        <v>58</v>
      </c>
      <c r="AB23" s="6" t="s">
        <v>59</v>
      </c>
      <c r="AC23" s="6" t="s">
        <v>60</v>
      </c>
      <c r="AD23" s="6" t="s">
        <v>61</v>
      </c>
      <c r="AE23" s="5">
        <v>1.0</v>
      </c>
      <c r="AF23" s="5" t="s">
        <v>167</v>
      </c>
      <c r="AG23" s="6">
        <v>20.0</v>
      </c>
      <c r="AH23" s="8">
        <v>14482.0</v>
      </c>
      <c r="AI23" s="6">
        <v>2956.081866254722</v>
      </c>
      <c r="AJ23" s="5" t="s">
        <v>194</v>
      </c>
      <c r="AK23" s="6">
        <v>20.0</v>
      </c>
      <c r="AL23" s="8">
        <v>14659.0</v>
      </c>
      <c r="AM23" s="6">
        <v>3778.9548819746446</v>
      </c>
      <c r="AN23" s="6" t="s">
        <v>148</v>
      </c>
    </row>
    <row r="24" ht="15.75" customHeight="1">
      <c r="A24" s="5" t="s">
        <v>155</v>
      </c>
      <c r="B24" s="6">
        <v>956.0</v>
      </c>
      <c r="C24" s="7" t="s">
        <v>156</v>
      </c>
      <c r="D24" s="6">
        <v>2013.0</v>
      </c>
      <c r="E24" s="5" t="s">
        <v>157</v>
      </c>
      <c r="F24" s="5" t="s">
        <v>195</v>
      </c>
      <c r="G24" s="5" t="s">
        <v>69</v>
      </c>
      <c r="H24" s="5" t="s">
        <v>95</v>
      </c>
      <c r="I24" s="6" t="s">
        <v>71</v>
      </c>
      <c r="J24" s="6" t="s">
        <v>85</v>
      </c>
      <c r="K24" s="6" t="s">
        <v>159</v>
      </c>
      <c r="L24" s="6" t="s">
        <v>160</v>
      </c>
      <c r="M24" s="6" t="s">
        <v>96</v>
      </c>
      <c r="N24" s="6" t="s">
        <v>97</v>
      </c>
      <c r="O24" s="6" t="s">
        <v>53</v>
      </c>
      <c r="P24" s="6" t="s">
        <v>53</v>
      </c>
      <c r="Q24" s="6" t="s">
        <v>53</v>
      </c>
      <c r="R24" s="6" t="s">
        <v>53</v>
      </c>
      <c r="S24" s="5" t="s">
        <v>191</v>
      </c>
      <c r="T24" s="6">
        <v>1.0</v>
      </c>
      <c r="U24" s="6" t="s">
        <v>53</v>
      </c>
      <c r="V24" s="6">
        <v>1.0</v>
      </c>
      <c r="W24" s="5" t="s">
        <v>192</v>
      </c>
      <c r="X24" s="6">
        <v>30.0</v>
      </c>
      <c r="Y24" s="5" t="s">
        <v>196</v>
      </c>
      <c r="Z24" s="5" t="s">
        <v>166</v>
      </c>
      <c r="AA24" s="6" t="s">
        <v>58</v>
      </c>
      <c r="AB24" s="6" t="s">
        <v>59</v>
      </c>
      <c r="AC24" s="6" t="s">
        <v>60</v>
      </c>
      <c r="AD24" s="6" t="s">
        <v>61</v>
      </c>
      <c r="AE24" s="5">
        <v>1.0</v>
      </c>
      <c r="AF24" s="5" t="s">
        <v>167</v>
      </c>
      <c r="AG24" s="6">
        <v>10.0</v>
      </c>
      <c r="AH24" s="8">
        <v>15490.0</v>
      </c>
      <c r="AI24" s="6">
        <v>3393.1239293606714</v>
      </c>
      <c r="AJ24" s="5" t="s">
        <v>197</v>
      </c>
      <c r="AK24" s="6">
        <v>10.0</v>
      </c>
      <c r="AL24" s="8">
        <v>16596.0</v>
      </c>
      <c r="AM24" s="6">
        <v>2681.611455822786</v>
      </c>
      <c r="AN24" s="6" t="s">
        <v>148</v>
      </c>
    </row>
    <row r="25" ht="15.75" customHeight="1">
      <c r="A25" s="5" t="s">
        <v>155</v>
      </c>
      <c r="B25" s="6">
        <v>957.0</v>
      </c>
      <c r="C25" s="7" t="s">
        <v>156</v>
      </c>
      <c r="D25" s="6">
        <v>2013.0</v>
      </c>
      <c r="E25" s="5" t="s">
        <v>157</v>
      </c>
      <c r="F25" s="5" t="s">
        <v>195</v>
      </c>
      <c r="G25" s="5" t="s">
        <v>69</v>
      </c>
      <c r="H25" s="5" t="s">
        <v>95</v>
      </c>
      <c r="I25" s="6" t="s">
        <v>71</v>
      </c>
      <c r="J25" s="6" t="s">
        <v>85</v>
      </c>
      <c r="K25" s="6" t="s">
        <v>159</v>
      </c>
      <c r="L25" s="6" t="s">
        <v>160</v>
      </c>
      <c r="M25" s="6" t="s">
        <v>96</v>
      </c>
      <c r="N25" s="6" t="s">
        <v>97</v>
      </c>
      <c r="O25" s="6" t="s">
        <v>53</v>
      </c>
      <c r="P25" s="6" t="s">
        <v>53</v>
      </c>
      <c r="Q25" s="6" t="s">
        <v>53</v>
      </c>
      <c r="R25" s="6" t="s">
        <v>53</v>
      </c>
      <c r="S25" s="5" t="s">
        <v>198</v>
      </c>
      <c r="T25" s="6">
        <v>3.2</v>
      </c>
      <c r="U25" s="6" t="s">
        <v>53</v>
      </c>
      <c r="V25" s="6">
        <v>3.2</v>
      </c>
      <c r="W25" s="5" t="s">
        <v>192</v>
      </c>
      <c r="X25" s="6">
        <v>30.0</v>
      </c>
      <c r="Y25" s="5" t="s">
        <v>196</v>
      </c>
      <c r="Z25" s="5" t="s">
        <v>166</v>
      </c>
      <c r="AA25" s="6" t="s">
        <v>58</v>
      </c>
      <c r="AB25" s="6" t="s">
        <v>59</v>
      </c>
      <c r="AC25" s="6" t="s">
        <v>60</v>
      </c>
      <c r="AD25" s="6" t="s">
        <v>61</v>
      </c>
      <c r="AE25" s="5">
        <v>1.0</v>
      </c>
      <c r="AF25" s="5" t="s">
        <v>167</v>
      </c>
      <c r="AG25" s="6">
        <v>10.0</v>
      </c>
      <c r="AH25" s="8">
        <v>15490.0</v>
      </c>
      <c r="AI25" s="6">
        <v>3393.1239293606714</v>
      </c>
      <c r="AJ25" s="5" t="s">
        <v>199</v>
      </c>
      <c r="AK25" s="6">
        <v>10.0</v>
      </c>
      <c r="AL25" s="8">
        <v>13895.0</v>
      </c>
      <c r="AM25" s="8">
        <v>1938.4762056832167</v>
      </c>
      <c r="AN25" s="6" t="s">
        <v>148</v>
      </c>
    </row>
    <row r="26" ht="15.75" customHeight="1">
      <c r="A26" s="5" t="s">
        <v>155</v>
      </c>
      <c r="B26" s="6">
        <v>937.0</v>
      </c>
      <c r="C26" s="7" t="s">
        <v>156</v>
      </c>
      <c r="D26" s="6">
        <v>2013.0</v>
      </c>
      <c r="E26" s="5" t="s">
        <v>157</v>
      </c>
      <c r="F26" s="5" t="s">
        <v>190</v>
      </c>
      <c r="G26" s="5" t="s">
        <v>69</v>
      </c>
      <c r="H26" s="5" t="s">
        <v>95</v>
      </c>
      <c r="I26" s="6" t="s">
        <v>71</v>
      </c>
      <c r="J26" s="6" t="s">
        <v>85</v>
      </c>
      <c r="K26" s="6" t="s">
        <v>72</v>
      </c>
      <c r="L26" s="6" t="s">
        <v>160</v>
      </c>
      <c r="M26" s="6" t="s">
        <v>96</v>
      </c>
      <c r="N26" s="6" t="s">
        <v>97</v>
      </c>
      <c r="O26" s="6" t="s">
        <v>53</v>
      </c>
      <c r="P26" s="6" t="s">
        <v>53</v>
      </c>
      <c r="Q26" s="6" t="s">
        <v>53</v>
      </c>
      <c r="R26" s="6" t="s">
        <v>53</v>
      </c>
      <c r="S26" s="5" t="s">
        <v>200</v>
      </c>
      <c r="T26" s="6">
        <v>5.6</v>
      </c>
      <c r="U26" s="6" t="s">
        <v>53</v>
      </c>
      <c r="V26" s="6">
        <v>5.6</v>
      </c>
      <c r="W26" s="5" t="s">
        <v>192</v>
      </c>
      <c r="X26" s="6">
        <v>30.0</v>
      </c>
      <c r="Y26" s="5" t="s">
        <v>193</v>
      </c>
      <c r="Z26" s="5" t="s">
        <v>166</v>
      </c>
      <c r="AA26" s="6" t="s">
        <v>58</v>
      </c>
      <c r="AB26" s="6" t="s">
        <v>59</v>
      </c>
      <c r="AC26" s="6" t="s">
        <v>60</v>
      </c>
      <c r="AD26" s="6" t="s">
        <v>61</v>
      </c>
      <c r="AE26" s="5">
        <v>1.0</v>
      </c>
      <c r="AF26" s="5" t="s">
        <v>167</v>
      </c>
      <c r="AG26" s="6">
        <v>20.0</v>
      </c>
      <c r="AH26" s="8">
        <v>14482.0</v>
      </c>
      <c r="AI26" s="6">
        <v>2956.081866254722</v>
      </c>
      <c r="AJ26" s="5" t="s">
        <v>201</v>
      </c>
      <c r="AK26" s="6">
        <v>20.0</v>
      </c>
      <c r="AL26" s="8">
        <v>12301.0</v>
      </c>
      <c r="AM26" s="8">
        <v>2075.071083119805</v>
      </c>
      <c r="AN26" s="6" t="s">
        <v>148</v>
      </c>
    </row>
    <row r="27" ht="15.75" customHeight="1">
      <c r="A27" s="5" t="s">
        <v>155</v>
      </c>
      <c r="B27" s="6">
        <v>958.0</v>
      </c>
      <c r="C27" s="7" t="s">
        <v>156</v>
      </c>
      <c r="D27" s="6">
        <v>2013.0</v>
      </c>
      <c r="E27" s="5" t="s">
        <v>157</v>
      </c>
      <c r="F27" s="5" t="s">
        <v>195</v>
      </c>
      <c r="G27" s="5" t="s">
        <v>69</v>
      </c>
      <c r="H27" s="5" t="s">
        <v>95</v>
      </c>
      <c r="I27" s="6" t="s">
        <v>71</v>
      </c>
      <c r="J27" s="6" t="s">
        <v>85</v>
      </c>
      <c r="K27" s="6" t="s">
        <v>159</v>
      </c>
      <c r="L27" s="6" t="s">
        <v>160</v>
      </c>
      <c r="M27" s="6" t="s">
        <v>96</v>
      </c>
      <c r="N27" s="6" t="s">
        <v>97</v>
      </c>
      <c r="O27" s="6" t="s">
        <v>53</v>
      </c>
      <c r="P27" s="6" t="s">
        <v>53</v>
      </c>
      <c r="Q27" s="6" t="s">
        <v>53</v>
      </c>
      <c r="R27" s="6" t="s">
        <v>53</v>
      </c>
      <c r="S27" s="5" t="s">
        <v>200</v>
      </c>
      <c r="T27" s="6">
        <v>5.6</v>
      </c>
      <c r="U27" s="6" t="s">
        <v>53</v>
      </c>
      <c r="V27" s="6">
        <v>5.6</v>
      </c>
      <c r="W27" s="5" t="s">
        <v>192</v>
      </c>
      <c r="X27" s="6">
        <v>30.0</v>
      </c>
      <c r="Y27" s="5" t="s">
        <v>196</v>
      </c>
      <c r="Z27" s="5" t="s">
        <v>166</v>
      </c>
      <c r="AA27" s="6" t="s">
        <v>58</v>
      </c>
      <c r="AB27" s="6" t="s">
        <v>59</v>
      </c>
      <c r="AC27" s="6" t="s">
        <v>60</v>
      </c>
      <c r="AD27" s="6" t="s">
        <v>61</v>
      </c>
      <c r="AE27" s="5">
        <v>1.0</v>
      </c>
      <c r="AF27" s="5" t="s">
        <v>167</v>
      </c>
      <c r="AG27" s="6">
        <v>10.0</v>
      </c>
      <c r="AH27" s="8">
        <v>15490.0</v>
      </c>
      <c r="AI27" s="6">
        <v>3393.1239293606714</v>
      </c>
      <c r="AJ27" s="5" t="s">
        <v>202</v>
      </c>
      <c r="AK27" s="6">
        <v>9.0</v>
      </c>
      <c r="AL27" s="8">
        <v>13076.0</v>
      </c>
      <c r="AM27" s="8">
        <v>3120.0</v>
      </c>
      <c r="AN27" s="6" t="s">
        <v>148</v>
      </c>
    </row>
    <row r="28" ht="15.75" customHeight="1">
      <c r="A28" s="5" t="s">
        <v>155</v>
      </c>
      <c r="B28" s="6">
        <v>938.0</v>
      </c>
      <c r="C28" s="7" t="s">
        <v>156</v>
      </c>
      <c r="D28" s="6">
        <v>2013.0</v>
      </c>
      <c r="E28" s="5" t="s">
        <v>157</v>
      </c>
      <c r="F28" s="5" t="s">
        <v>190</v>
      </c>
      <c r="G28" s="5" t="s">
        <v>69</v>
      </c>
      <c r="H28" s="5" t="s">
        <v>95</v>
      </c>
      <c r="I28" s="6" t="s">
        <v>71</v>
      </c>
      <c r="J28" s="6" t="s">
        <v>85</v>
      </c>
      <c r="K28" s="6" t="s">
        <v>72</v>
      </c>
      <c r="L28" s="6" t="s">
        <v>160</v>
      </c>
      <c r="M28" s="6" t="s">
        <v>96</v>
      </c>
      <c r="N28" s="6" t="s">
        <v>97</v>
      </c>
      <c r="O28" s="6" t="s">
        <v>53</v>
      </c>
      <c r="P28" s="6" t="s">
        <v>53</v>
      </c>
      <c r="Q28" s="6" t="s">
        <v>53</v>
      </c>
      <c r="R28" s="6" t="s">
        <v>53</v>
      </c>
      <c r="S28" s="5" t="s">
        <v>203</v>
      </c>
      <c r="T28" s="6">
        <v>10.0</v>
      </c>
      <c r="U28" s="6" t="s">
        <v>53</v>
      </c>
      <c r="V28" s="6">
        <v>10.0</v>
      </c>
      <c r="W28" s="5" t="s">
        <v>192</v>
      </c>
      <c r="X28" s="6">
        <v>30.0</v>
      </c>
      <c r="Y28" s="5" t="s">
        <v>193</v>
      </c>
      <c r="Z28" s="5" t="s">
        <v>166</v>
      </c>
      <c r="AA28" s="6" t="s">
        <v>58</v>
      </c>
      <c r="AB28" s="6" t="s">
        <v>59</v>
      </c>
      <c r="AC28" s="6" t="s">
        <v>60</v>
      </c>
      <c r="AD28" s="6" t="s">
        <v>61</v>
      </c>
      <c r="AE28" s="5">
        <v>1.0</v>
      </c>
      <c r="AF28" s="5" t="s">
        <v>167</v>
      </c>
      <c r="AG28" s="6">
        <v>20.0</v>
      </c>
      <c r="AH28" s="8">
        <v>14482.0</v>
      </c>
      <c r="AI28" s="6">
        <v>2956.081866254722</v>
      </c>
      <c r="AJ28" s="5" t="s">
        <v>204</v>
      </c>
      <c r="AK28" s="6">
        <v>14.0</v>
      </c>
      <c r="AL28" s="8">
        <v>9867.0</v>
      </c>
      <c r="AM28" s="8">
        <v>2701.4766332507857</v>
      </c>
      <c r="AN28" s="6" t="s">
        <v>148</v>
      </c>
    </row>
    <row r="29" ht="15.75" customHeight="1">
      <c r="A29" s="5" t="s">
        <v>155</v>
      </c>
      <c r="B29" s="6">
        <v>939.0</v>
      </c>
      <c r="C29" s="7" t="s">
        <v>156</v>
      </c>
      <c r="D29" s="6">
        <v>2013.0</v>
      </c>
      <c r="E29" s="5" t="s">
        <v>157</v>
      </c>
      <c r="F29" s="5" t="s">
        <v>190</v>
      </c>
      <c r="G29" s="5" t="s">
        <v>69</v>
      </c>
      <c r="H29" s="5" t="s">
        <v>95</v>
      </c>
      <c r="I29" s="6" t="s">
        <v>71</v>
      </c>
      <c r="J29" s="6" t="s">
        <v>85</v>
      </c>
      <c r="K29" s="6" t="s">
        <v>72</v>
      </c>
      <c r="L29" s="6" t="s">
        <v>160</v>
      </c>
      <c r="M29" s="6" t="s">
        <v>96</v>
      </c>
      <c r="N29" s="6" t="s">
        <v>97</v>
      </c>
      <c r="O29" s="6" t="s">
        <v>53</v>
      </c>
      <c r="P29" s="6" t="s">
        <v>53</v>
      </c>
      <c r="Q29" s="6" t="s">
        <v>53</v>
      </c>
      <c r="R29" s="6" t="s">
        <v>53</v>
      </c>
      <c r="S29" s="5" t="s">
        <v>205</v>
      </c>
      <c r="T29" s="6">
        <v>17.8</v>
      </c>
      <c r="U29" s="6" t="s">
        <v>53</v>
      </c>
      <c r="V29" s="6">
        <v>17.8</v>
      </c>
      <c r="W29" s="5" t="s">
        <v>192</v>
      </c>
      <c r="X29" s="6">
        <v>30.0</v>
      </c>
      <c r="Y29" s="5" t="s">
        <v>193</v>
      </c>
      <c r="Z29" s="5" t="s">
        <v>166</v>
      </c>
      <c r="AA29" s="6" t="s">
        <v>58</v>
      </c>
      <c r="AB29" s="6" t="s">
        <v>59</v>
      </c>
      <c r="AC29" s="6" t="s">
        <v>60</v>
      </c>
      <c r="AD29" s="6" t="s">
        <v>61</v>
      </c>
      <c r="AE29" s="5">
        <v>1.0</v>
      </c>
      <c r="AF29" s="5" t="s">
        <v>167</v>
      </c>
      <c r="AG29" s="6">
        <v>20.0</v>
      </c>
      <c r="AH29" s="8">
        <v>14482.0</v>
      </c>
      <c r="AI29" s="6">
        <v>2956.081866254722</v>
      </c>
      <c r="AJ29" s="5" t="s">
        <v>206</v>
      </c>
      <c r="AK29" s="6">
        <v>14.0</v>
      </c>
      <c r="AL29" s="8">
        <v>8593.0</v>
      </c>
      <c r="AM29" s="8">
        <v>1975.595100216641</v>
      </c>
      <c r="AN29" s="6" t="s">
        <v>148</v>
      </c>
    </row>
    <row r="30" ht="15.75" customHeight="1">
      <c r="A30" s="5" t="s">
        <v>155</v>
      </c>
      <c r="B30" s="6">
        <v>940.0</v>
      </c>
      <c r="C30" s="7" t="s">
        <v>156</v>
      </c>
      <c r="D30" s="6">
        <v>2013.0</v>
      </c>
      <c r="E30" s="5" t="s">
        <v>157</v>
      </c>
      <c r="F30" s="5" t="s">
        <v>190</v>
      </c>
      <c r="G30" s="5" t="s">
        <v>69</v>
      </c>
      <c r="H30" s="5" t="s">
        <v>95</v>
      </c>
      <c r="I30" s="6" t="s">
        <v>71</v>
      </c>
      <c r="J30" s="6" t="s">
        <v>85</v>
      </c>
      <c r="K30" s="6" t="s">
        <v>72</v>
      </c>
      <c r="L30" s="6" t="s">
        <v>160</v>
      </c>
      <c r="M30" s="6" t="s">
        <v>96</v>
      </c>
      <c r="N30" s="6" t="s">
        <v>97</v>
      </c>
      <c r="O30" s="6" t="s">
        <v>53</v>
      </c>
      <c r="P30" s="6" t="s">
        <v>53</v>
      </c>
      <c r="Q30" s="6" t="s">
        <v>53</v>
      </c>
      <c r="R30" s="6" t="s">
        <v>53</v>
      </c>
      <c r="S30" s="5" t="s">
        <v>207</v>
      </c>
      <c r="T30" s="6">
        <v>32.0</v>
      </c>
      <c r="U30" s="6" t="s">
        <v>53</v>
      </c>
      <c r="V30" s="6">
        <v>32.0</v>
      </c>
      <c r="W30" s="5" t="s">
        <v>192</v>
      </c>
      <c r="X30" s="6">
        <v>30.0</v>
      </c>
      <c r="Y30" s="5" t="s">
        <v>193</v>
      </c>
      <c r="Z30" s="5" t="s">
        <v>166</v>
      </c>
      <c r="AA30" s="6" t="s">
        <v>58</v>
      </c>
      <c r="AB30" s="6" t="s">
        <v>59</v>
      </c>
      <c r="AC30" s="6" t="s">
        <v>60</v>
      </c>
      <c r="AD30" s="6" t="s">
        <v>61</v>
      </c>
      <c r="AE30" s="5">
        <v>1.0</v>
      </c>
      <c r="AF30" s="5" t="s">
        <v>167</v>
      </c>
      <c r="AG30" s="6">
        <v>20.0</v>
      </c>
      <c r="AH30" s="8">
        <v>14482.0</v>
      </c>
      <c r="AI30" s="6">
        <v>2956.081866254722</v>
      </c>
      <c r="AJ30" s="5" t="s">
        <v>208</v>
      </c>
      <c r="AK30" s="5">
        <v>13.0</v>
      </c>
      <c r="AL30" s="8">
        <v>8728.0</v>
      </c>
      <c r="AM30" s="8">
        <v>1770.3256762528188</v>
      </c>
      <c r="AN30" s="6" t="s">
        <v>148</v>
      </c>
    </row>
    <row r="31" ht="15.75" customHeight="1">
      <c r="A31" s="5" t="s">
        <v>209</v>
      </c>
      <c r="B31" s="6">
        <v>1000.0</v>
      </c>
      <c r="C31" s="7" t="s">
        <v>210</v>
      </c>
      <c r="D31" s="6">
        <v>2020.0</v>
      </c>
      <c r="E31" s="5" t="s">
        <v>211</v>
      </c>
      <c r="F31" s="5" t="s">
        <v>212</v>
      </c>
      <c r="G31" s="5" t="s">
        <v>69</v>
      </c>
      <c r="H31" s="5" t="s">
        <v>213</v>
      </c>
      <c r="I31" s="6" t="s">
        <v>71</v>
      </c>
      <c r="J31" s="6" t="s">
        <v>46</v>
      </c>
      <c r="K31" s="6" t="s">
        <v>159</v>
      </c>
      <c r="L31" s="6" t="s">
        <v>49</v>
      </c>
      <c r="M31" s="6" t="s">
        <v>96</v>
      </c>
      <c r="N31" s="6" t="s">
        <v>97</v>
      </c>
      <c r="O31" s="6" t="s">
        <v>53</v>
      </c>
      <c r="P31" s="6" t="s">
        <v>53</v>
      </c>
      <c r="Q31" s="6" t="s">
        <v>53</v>
      </c>
      <c r="R31" s="6" t="s">
        <v>53</v>
      </c>
      <c r="S31" s="5" t="s">
        <v>115</v>
      </c>
      <c r="T31" s="6">
        <v>0.1</v>
      </c>
      <c r="U31" s="6" t="s">
        <v>53</v>
      </c>
      <c r="V31" s="6">
        <v>0.1</v>
      </c>
      <c r="W31" s="5" t="s">
        <v>46</v>
      </c>
      <c r="X31" s="5" t="s">
        <v>46</v>
      </c>
      <c r="Y31" s="5" t="s">
        <v>214</v>
      </c>
      <c r="Z31" s="5" t="s">
        <v>215</v>
      </c>
      <c r="AA31" s="6" t="s">
        <v>58</v>
      </c>
      <c r="AB31" s="6" t="s">
        <v>59</v>
      </c>
      <c r="AC31" s="6" t="s">
        <v>60</v>
      </c>
      <c r="AD31" s="6" t="s">
        <v>61</v>
      </c>
      <c r="AE31" s="5">
        <v>1.0</v>
      </c>
      <c r="AF31" s="5" t="s">
        <v>216</v>
      </c>
      <c r="AG31" s="6">
        <v>14.0</v>
      </c>
      <c r="AH31" s="8">
        <v>10.24</v>
      </c>
      <c r="AI31" s="6">
        <v>4.190656273186815</v>
      </c>
      <c r="AJ31" s="5" t="s">
        <v>217</v>
      </c>
      <c r="AK31" s="6">
        <v>12.0</v>
      </c>
      <c r="AL31" s="8">
        <v>10.93</v>
      </c>
      <c r="AM31" s="6">
        <v>2.3209480821422956</v>
      </c>
      <c r="AN31" s="6" t="s">
        <v>64</v>
      </c>
    </row>
    <row r="32" ht="15.75" customHeight="1">
      <c r="A32" s="5" t="s">
        <v>209</v>
      </c>
      <c r="B32" s="6">
        <v>995.0</v>
      </c>
      <c r="C32" s="7" t="s">
        <v>210</v>
      </c>
      <c r="D32" s="6">
        <v>2020.0</v>
      </c>
      <c r="E32" s="5" t="s">
        <v>211</v>
      </c>
      <c r="F32" s="5" t="s">
        <v>218</v>
      </c>
      <c r="G32" s="5" t="s">
        <v>69</v>
      </c>
      <c r="H32" s="5" t="s">
        <v>95</v>
      </c>
      <c r="I32" s="6" t="s">
        <v>71</v>
      </c>
      <c r="J32" s="6" t="s">
        <v>46</v>
      </c>
      <c r="K32" s="6" t="s">
        <v>159</v>
      </c>
      <c r="L32" s="6" t="s">
        <v>49</v>
      </c>
      <c r="M32" s="6" t="s">
        <v>96</v>
      </c>
      <c r="N32" s="6" t="s">
        <v>97</v>
      </c>
      <c r="O32" s="6" t="s">
        <v>53</v>
      </c>
      <c r="P32" s="6" t="s">
        <v>53</v>
      </c>
      <c r="Q32" s="6" t="s">
        <v>53</v>
      </c>
      <c r="R32" s="6" t="s">
        <v>53</v>
      </c>
      <c r="S32" s="5" t="s">
        <v>149</v>
      </c>
      <c r="T32" s="6">
        <v>0.3</v>
      </c>
      <c r="U32" s="6" t="s">
        <v>53</v>
      </c>
      <c r="V32" s="6">
        <v>0.3</v>
      </c>
      <c r="W32" s="5" t="s">
        <v>46</v>
      </c>
      <c r="X32" s="5" t="s">
        <v>46</v>
      </c>
      <c r="Y32" s="5" t="s">
        <v>219</v>
      </c>
      <c r="Z32" s="5" t="s">
        <v>215</v>
      </c>
      <c r="AA32" s="6" t="s">
        <v>58</v>
      </c>
      <c r="AB32" s="6" t="s">
        <v>59</v>
      </c>
      <c r="AC32" s="6" t="s">
        <v>60</v>
      </c>
      <c r="AD32" s="6" t="s">
        <v>61</v>
      </c>
      <c r="AE32" s="5">
        <v>1.0</v>
      </c>
      <c r="AF32" s="5" t="s">
        <v>216</v>
      </c>
      <c r="AG32" s="6">
        <v>11.0</v>
      </c>
      <c r="AH32" s="8">
        <v>5.72</v>
      </c>
      <c r="AI32" s="6">
        <v>1.32664991614216</v>
      </c>
      <c r="AJ32" s="5" t="s">
        <v>220</v>
      </c>
      <c r="AK32" s="6">
        <v>7.0</v>
      </c>
      <c r="AL32" s="8">
        <v>6.39</v>
      </c>
      <c r="AM32" s="6">
        <v>1.984313483298443</v>
      </c>
      <c r="AN32" s="6" t="s">
        <v>64</v>
      </c>
    </row>
    <row r="33" ht="15.75" customHeight="1">
      <c r="A33" s="5" t="s">
        <v>209</v>
      </c>
      <c r="B33" s="6">
        <v>1001.0</v>
      </c>
      <c r="C33" s="7" t="s">
        <v>210</v>
      </c>
      <c r="D33" s="6">
        <v>2020.0</v>
      </c>
      <c r="E33" s="5" t="s">
        <v>211</v>
      </c>
      <c r="F33" s="5" t="s">
        <v>212</v>
      </c>
      <c r="G33" s="5" t="s">
        <v>69</v>
      </c>
      <c r="H33" s="5" t="s">
        <v>213</v>
      </c>
      <c r="I33" s="6" t="s">
        <v>71</v>
      </c>
      <c r="J33" s="6" t="s">
        <v>46</v>
      </c>
      <c r="K33" s="6" t="s">
        <v>159</v>
      </c>
      <c r="L33" s="6" t="s">
        <v>49</v>
      </c>
      <c r="M33" s="6" t="s">
        <v>96</v>
      </c>
      <c r="N33" s="6" t="s">
        <v>97</v>
      </c>
      <c r="O33" s="6" t="s">
        <v>53</v>
      </c>
      <c r="P33" s="6" t="s">
        <v>53</v>
      </c>
      <c r="Q33" s="6" t="s">
        <v>53</v>
      </c>
      <c r="R33" s="6" t="s">
        <v>53</v>
      </c>
      <c r="S33" s="5" t="s">
        <v>149</v>
      </c>
      <c r="T33" s="6">
        <v>0.3</v>
      </c>
      <c r="U33" s="6" t="s">
        <v>53</v>
      </c>
      <c r="V33" s="6">
        <v>0.3</v>
      </c>
      <c r="W33" s="5" t="s">
        <v>46</v>
      </c>
      <c r="X33" s="5" t="s">
        <v>46</v>
      </c>
      <c r="Y33" s="5" t="s">
        <v>214</v>
      </c>
      <c r="Z33" s="5" t="s">
        <v>215</v>
      </c>
      <c r="AA33" s="6" t="s">
        <v>58</v>
      </c>
      <c r="AB33" s="6" t="s">
        <v>59</v>
      </c>
      <c r="AC33" s="6" t="s">
        <v>60</v>
      </c>
      <c r="AD33" s="6" t="s">
        <v>61</v>
      </c>
      <c r="AE33" s="5">
        <v>1.0</v>
      </c>
      <c r="AF33" s="5" t="s">
        <v>216</v>
      </c>
      <c r="AG33" s="6">
        <v>14.0</v>
      </c>
      <c r="AH33" s="8">
        <v>10.24</v>
      </c>
      <c r="AI33" s="6">
        <v>4.190656273186815</v>
      </c>
      <c r="AJ33" s="5" t="s">
        <v>220</v>
      </c>
      <c r="AK33" s="6">
        <v>12.0</v>
      </c>
      <c r="AL33" s="8">
        <v>9.22</v>
      </c>
      <c r="AM33" s="8">
        <v>3.81051177665153</v>
      </c>
      <c r="AN33" s="6" t="s">
        <v>64</v>
      </c>
    </row>
    <row r="34" ht="15.75" customHeight="1">
      <c r="A34" s="5" t="s">
        <v>209</v>
      </c>
      <c r="B34" s="6">
        <v>996.0</v>
      </c>
      <c r="C34" s="7" t="s">
        <v>210</v>
      </c>
      <c r="D34" s="6">
        <v>2020.0</v>
      </c>
      <c r="E34" s="5" t="s">
        <v>211</v>
      </c>
      <c r="F34" s="5" t="s">
        <v>218</v>
      </c>
      <c r="G34" s="5" t="s">
        <v>69</v>
      </c>
      <c r="H34" s="5" t="s">
        <v>95</v>
      </c>
      <c r="I34" s="6" t="s">
        <v>71</v>
      </c>
      <c r="J34" s="6" t="s">
        <v>46</v>
      </c>
      <c r="K34" s="6" t="s">
        <v>159</v>
      </c>
      <c r="L34" s="6" t="s">
        <v>49</v>
      </c>
      <c r="M34" s="6" t="s">
        <v>96</v>
      </c>
      <c r="N34" s="6" t="s">
        <v>97</v>
      </c>
      <c r="O34" s="6" t="s">
        <v>53</v>
      </c>
      <c r="P34" s="6" t="s">
        <v>53</v>
      </c>
      <c r="Q34" s="6" t="s">
        <v>53</v>
      </c>
      <c r="R34" s="6" t="s">
        <v>53</v>
      </c>
      <c r="S34" s="5" t="s">
        <v>191</v>
      </c>
      <c r="T34" s="6">
        <v>1.0</v>
      </c>
      <c r="U34" s="6" t="s">
        <v>53</v>
      </c>
      <c r="V34" s="6">
        <v>1.0</v>
      </c>
      <c r="W34" s="5" t="s">
        <v>46</v>
      </c>
      <c r="X34" s="5" t="s">
        <v>46</v>
      </c>
      <c r="Y34" s="5" t="s">
        <v>219</v>
      </c>
      <c r="Z34" s="5" t="s">
        <v>215</v>
      </c>
      <c r="AA34" s="6" t="s">
        <v>58</v>
      </c>
      <c r="AB34" s="6" t="s">
        <v>59</v>
      </c>
      <c r="AC34" s="6" t="s">
        <v>60</v>
      </c>
      <c r="AD34" s="6" t="s">
        <v>61</v>
      </c>
      <c r="AE34" s="5">
        <v>1.0</v>
      </c>
      <c r="AF34" s="5" t="s">
        <v>216</v>
      </c>
      <c r="AG34" s="6">
        <v>11.0</v>
      </c>
      <c r="AH34" s="8">
        <v>5.72</v>
      </c>
      <c r="AI34" s="6">
        <v>1.32664991614216</v>
      </c>
      <c r="AJ34" s="5" t="s">
        <v>221</v>
      </c>
      <c r="AK34" s="6">
        <v>10.0</v>
      </c>
      <c r="AL34" s="8">
        <v>6.82</v>
      </c>
      <c r="AM34" s="8">
        <v>2.529822128134704</v>
      </c>
      <c r="AN34" s="6" t="s">
        <v>64</v>
      </c>
    </row>
    <row r="35" ht="15.75" customHeight="1">
      <c r="A35" s="5" t="s">
        <v>209</v>
      </c>
      <c r="B35" s="6">
        <v>1002.0</v>
      </c>
      <c r="C35" s="7" t="s">
        <v>210</v>
      </c>
      <c r="D35" s="6">
        <v>2020.0</v>
      </c>
      <c r="E35" s="5" t="s">
        <v>211</v>
      </c>
      <c r="F35" s="5" t="s">
        <v>212</v>
      </c>
      <c r="G35" s="5" t="s">
        <v>69</v>
      </c>
      <c r="H35" s="5" t="s">
        <v>213</v>
      </c>
      <c r="I35" s="6" t="s">
        <v>71</v>
      </c>
      <c r="J35" s="6" t="s">
        <v>46</v>
      </c>
      <c r="K35" s="6" t="s">
        <v>159</v>
      </c>
      <c r="L35" s="6" t="s">
        <v>49</v>
      </c>
      <c r="M35" s="6" t="s">
        <v>96</v>
      </c>
      <c r="N35" s="6" t="s">
        <v>97</v>
      </c>
      <c r="O35" s="6" t="s">
        <v>53</v>
      </c>
      <c r="P35" s="6" t="s">
        <v>53</v>
      </c>
      <c r="Q35" s="6" t="s">
        <v>53</v>
      </c>
      <c r="R35" s="6" t="s">
        <v>53</v>
      </c>
      <c r="S35" s="5" t="s">
        <v>191</v>
      </c>
      <c r="T35" s="6">
        <v>1.0</v>
      </c>
      <c r="U35" s="6" t="s">
        <v>53</v>
      </c>
      <c r="V35" s="6">
        <v>1.0</v>
      </c>
      <c r="W35" s="5" t="s">
        <v>46</v>
      </c>
      <c r="X35" s="5" t="s">
        <v>46</v>
      </c>
      <c r="Y35" s="5" t="s">
        <v>214</v>
      </c>
      <c r="Z35" s="5" t="s">
        <v>215</v>
      </c>
      <c r="AA35" s="6" t="s">
        <v>58</v>
      </c>
      <c r="AB35" s="6" t="s">
        <v>59</v>
      </c>
      <c r="AC35" s="6" t="s">
        <v>60</v>
      </c>
      <c r="AD35" s="6" t="s">
        <v>61</v>
      </c>
      <c r="AE35" s="5">
        <v>1.0</v>
      </c>
      <c r="AF35" s="5" t="s">
        <v>216</v>
      </c>
      <c r="AG35" s="6">
        <v>14.0</v>
      </c>
      <c r="AH35" s="8">
        <v>10.24</v>
      </c>
      <c r="AI35" s="6">
        <v>4.190656273186815</v>
      </c>
      <c r="AJ35" s="5" t="s">
        <v>222</v>
      </c>
      <c r="AK35" s="6">
        <v>12.0</v>
      </c>
      <c r="AL35" s="8">
        <v>11.05</v>
      </c>
      <c r="AM35" s="8">
        <v>2.3209480821422956</v>
      </c>
      <c r="AN35" s="6" t="s">
        <v>64</v>
      </c>
    </row>
  </sheetData>
  <conditionalFormatting sqref="A1:AN35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